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levelupconsultancy-my.sharepoint.com/personal/tareq_mh_levelup_com_sa/Documents/"/>
    </mc:Choice>
  </mc:AlternateContent>
  <xr:revisionPtr revIDLastSave="0" documentId="8_{8BEF0960-6EA3-479F-8D8F-D954FE33B0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KPI" sheetId="7" r:id="rId1"/>
    <sheet name="KPI by Quarter" sheetId="1" r:id="rId2"/>
    <sheet name="Taival_WL" sheetId="2" r:id="rId3"/>
    <sheet name="Colossus - Eternal Blight_WL" sheetId="3" r:id="rId4"/>
    <sheet name="Petunia's Purgatory_WL" sheetId="4" r:id="rId5"/>
    <sheet name="Fleetbreakers_WL" sheetId="5" r:id="rId6"/>
    <sheet name="Dashboard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7" l="1"/>
  <c r="U15" i="7"/>
  <c r="V15" i="7"/>
  <c r="W15" i="7"/>
  <c r="X15" i="7"/>
  <c r="Y15" i="7"/>
  <c r="Z15" i="7"/>
  <c r="AA15" i="7"/>
  <c r="T16" i="7"/>
  <c r="U16" i="7"/>
  <c r="V16" i="7"/>
  <c r="W16" i="7"/>
  <c r="X16" i="7"/>
  <c r="Y16" i="7"/>
  <c r="Z16" i="7"/>
  <c r="AA16" i="7"/>
  <c r="T11" i="7"/>
  <c r="U11" i="7"/>
  <c r="V11" i="7"/>
  <c r="W11" i="7"/>
  <c r="X11" i="7"/>
  <c r="Y11" i="7"/>
  <c r="Z11" i="7"/>
  <c r="AA11" i="7"/>
  <c r="T12" i="7"/>
  <c r="U12" i="7"/>
  <c r="V12" i="7"/>
  <c r="W12" i="7"/>
  <c r="X12" i="7"/>
  <c r="Y12" i="7"/>
  <c r="Z12" i="7"/>
  <c r="AA12" i="7"/>
  <c r="T7" i="7"/>
  <c r="U7" i="7"/>
  <c r="V7" i="7"/>
  <c r="W7" i="7"/>
  <c r="X7" i="7"/>
  <c r="Y7" i="7"/>
  <c r="Z7" i="7"/>
  <c r="AA7" i="7"/>
  <c r="T8" i="7"/>
  <c r="U8" i="7"/>
  <c r="V8" i="7"/>
  <c r="W8" i="7"/>
  <c r="X8" i="7"/>
  <c r="Y8" i="7"/>
  <c r="Z8" i="7"/>
  <c r="AA8" i="7"/>
  <c r="T3" i="7"/>
  <c r="U3" i="7"/>
  <c r="V3" i="7"/>
  <c r="W3" i="7"/>
  <c r="X3" i="7"/>
  <c r="Y3" i="7"/>
  <c r="Z3" i="7"/>
  <c r="AA3" i="7"/>
  <c r="T4" i="7"/>
  <c r="U4" i="7"/>
  <c r="V4" i="7"/>
  <c r="W4" i="7"/>
  <c r="X4" i="7"/>
  <c r="Y4" i="7"/>
  <c r="Z4" i="7"/>
  <c r="AA4" i="7"/>
  <c r="S15" i="7"/>
  <c r="S16" i="7"/>
  <c r="S11" i="7"/>
  <c r="S12" i="7"/>
  <c r="S7" i="7"/>
  <c r="S8" i="7"/>
  <c r="S4" i="7"/>
  <c r="S3" i="7"/>
  <c r="H132" i="3"/>
  <c r="H139" i="3"/>
  <c r="H146" i="3"/>
  <c r="H153" i="3"/>
  <c r="H160" i="3"/>
  <c r="H167" i="3"/>
  <c r="H174" i="3"/>
  <c r="H181" i="3"/>
  <c r="H188" i="3"/>
  <c r="H195" i="3"/>
  <c r="H202" i="3"/>
  <c r="H209" i="3"/>
  <c r="H216" i="3"/>
  <c r="H223" i="3"/>
  <c r="H230" i="3"/>
  <c r="H237" i="3"/>
  <c r="H244" i="3"/>
  <c r="H251" i="3"/>
  <c r="H258" i="3"/>
  <c r="H265" i="3"/>
  <c r="H272" i="3"/>
  <c r="H279" i="3"/>
  <c r="H286" i="3"/>
  <c r="H293" i="3"/>
  <c r="H300" i="3"/>
  <c r="H307" i="3"/>
  <c r="H314" i="3"/>
  <c r="H321" i="3"/>
  <c r="H328" i="3"/>
  <c r="H335" i="3"/>
  <c r="H342" i="3"/>
  <c r="H349" i="3"/>
  <c r="H356" i="3"/>
  <c r="H111" i="3"/>
  <c r="R16" i="7"/>
  <c r="R15" i="7"/>
  <c r="R12" i="7"/>
  <c r="R11" i="7"/>
  <c r="R8" i="7"/>
  <c r="R7" i="7"/>
  <c r="R4" i="7"/>
  <c r="R3" i="7"/>
  <c r="G104" i="5" l="1"/>
  <c r="N66" i="1"/>
  <c r="M66" i="1"/>
  <c r="L66" i="1"/>
  <c r="K66" i="1"/>
  <c r="J66" i="1"/>
  <c r="I66" i="1"/>
  <c r="H66" i="1"/>
  <c r="G66" i="1"/>
  <c r="F66" i="1"/>
  <c r="E66" i="1"/>
  <c r="D66" i="1"/>
  <c r="C66" i="1"/>
  <c r="N62" i="1"/>
  <c r="M62" i="1"/>
  <c r="L62" i="1"/>
  <c r="K62" i="1"/>
  <c r="J62" i="1"/>
  <c r="I62" i="1"/>
  <c r="H62" i="1"/>
  <c r="G62" i="1"/>
  <c r="F62" i="1"/>
  <c r="E62" i="1"/>
  <c r="D62" i="1"/>
  <c r="C62" i="1"/>
  <c r="N58" i="1"/>
  <c r="M58" i="1"/>
  <c r="L58" i="1"/>
  <c r="K58" i="1"/>
  <c r="J58" i="1"/>
  <c r="I58" i="1"/>
  <c r="H58" i="1"/>
  <c r="G58" i="1"/>
  <c r="F58" i="1"/>
  <c r="E58" i="1"/>
  <c r="D58" i="1"/>
  <c r="C58" i="1"/>
  <c r="N54" i="1"/>
  <c r="M54" i="1"/>
  <c r="L54" i="1"/>
  <c r="K54" i="1"/>
  <c r="J54" i="1"/>
  <c r="I54" i="1"/>
  <c r="H54" i="1"/>
  <c r="G54" i="1"/>
  <c r="F54" i="1"/>
  <c r="E54" i="1"/>
  <c r="D54" i="1"/>
  <c r="C54" i="1"/>
  <c r="N49" i="1"/>
  <c r="M49" i="1"/>
  <c r="L49" i="1"/>
  <c r="K49" i="1"/>
  <c r="J49" i="1"/>
  <c r="I49" i="1"/>
  <c r="H49" i="1"/>
  <c r="G49" i="1"/>
  <c r="F49" i="1"/>
  <c r="E49" i="1"/>
  <c r="D49" i="1"/>
  <c r="C49" i="1"/>
  <c r="N45" i="1"/>
  <c r="M45" i="1"/>
  <c r="L45" i="1"/>
  <c r="K45" i="1"/>
  <c r="J45" i="1"/>
  <c r="I45" i="1"/>
  <c r="H45" i="1"/>
  <c r="G45" i="1"/>
  <c r="F45" i="1"/>
  <c r="E45" i="1"/>
  <c r="D45" i="1"/>
  <c r="C45" i="1"/>
  <c r="N41" i="1"/>
  <c r="M41" i="1"/>
  <c r="L41" i="1"/>
  <c r="K41" i="1"/>
  <c r="J41" i="1"/>
  <c r="I41" i="1"/>
  <c r="H41" i="1"/>
  <c r="G41" i="1"/>
  <c r="F41" i="1"/>
  <c r="E41" i="1"/>
  <c r="D41" i="1"/>
  <c r="C41" i="1"/>
  <c r="Q15" i="7"/>
  <c r="P68" i="1"/>
  <c r="P67" i="1"/>
  <c r="P64" i="1"/>
  <c r="P63" i="1"/>
  <c r="P60" i="1"/>
  <c r="P59" i="1"/>
  <c r="P56" i="1"/>
  <c r="P55" i="1"/>
  <c r="P51" i="1"/>
  <c r="P50" i="1"/>
  <c r="P47" i="1"/>
  <c r="P46" i="1"/>
  <c r="P43" i="1"/>
  <c r="P42" i="1"/>
  <c r="P39" i="1"/>
  <c r="P38" i="1"/>
  <c r="P34" i="1"/>
  <c r="P33" i="1"/>
  <c r="P30" i="1"/>
  <c r="P29" i="1"/>
  <c r="P26" i="1"/>
  <c r="P25" i="1"/>
  <c r="P22" i="1"/>
  <c r="P21" i="1"/>
  <c r="P17" i="1"/>
  <c r="P16" i="1"/>
  <c r="P13" i="1"/>
  <c r="P12" i="1"/>
  <c r="P9" i="1"/>
  <c r="P8" i="1"/>
  <c r="P4" i="1"/>
  <c r="P5" i="1"/>
  <c r="G110" i="2"/>
  <c r="H104" i="2" s="1"/>
  <c r="G104" i="2"/>
  <c r="H104" i="3"/>
  <c r="G104" i="3"/>
  <c r="H97" i="3"/>
  <c r="H90" i="4"/>
  <c r="H62" i="4"/>
  <c r="F53" i="6"/>
  <c r="E53" i="6"/>
  <c r="D53" i="6"/>
  <c r="C53" i="6"/>
  <c r="F31" i="6"/>
  <c r="E31" i="6"/>
  <c r="D31" i="6"/>
  <c r="C31" i="6"/>
  <c r="F9" i="6"/>
  <c r="E9" i="6"/>
  <c r="D9" i="6"/>
  <c r="C9" i="6"/>
  <c r="B53" i="6"/>
  <c r="B31" i="6"/>
  <c r="B9" i="6"/>
  <c r="B1" i="7"/>
  <c r="A32" i="6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H13" i="5" s="1"/>
  <c r="D15" i="1" s="1"/>
  <c r="D14" i="7" s="1"/>
  <c r="F12" i="6" s="1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H34" i="5" s="1"/>
  <c r="G15" i="1" s="1"/>
  <c r="G14" i="7" s="1"/>
  <c r="F15" i="6" s="1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H48" i="5" s="1"/>
  <c r="I15" i="1" s="1"/>
  <c r="I14" i="7" s="1"/>
  <c r="F17" i="6" s="1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H76" i="5" s="1"/>
  <c r="M15" i="1" s="1"/>
  <c r="M14" i="7" s="1"/>
  <c r="F21" i="6" s="1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H125" i="5" s="1"/>
  <c r="G32" i="1" s="1"/>
  <c r="T14" i="7" s="1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H139" i="5" s="1"/>
  <c r="I32" i="1" s="1"/>
  <c r="V14" i="7" s="1"/>
  <c r="G143" i="5"/>
  <c r="G144" i="5"/>
  <c r="G145" i="5"/>
  <c r="G146" i="5"/>
  <c r="H146" i="5" s="1"/>
  <c r="J32" i="1" s="1"/>
  <c r="W14" i="7" s="1"/>
  <c r="G147" i="5"/>
  <c r="G148" i="5"/>
  <c r="G149" i="5"/>
  <c r="G150" i="5"/>
  <c r="G151" i="5"/>
  <c r="G152" i="5"/>
  <c r="G153" i="5"/>
  <c r="G154" i="5"/>
  <c r="G155" i="5"/>
  <c r="G156" i="5"/>
  <c r="G157" i="5"/>
  <c r="G158" i="5"/>
  <c r="H153" i="5" s="1"/>
  <c r="K32" i="1" s="1"/>
  <c r="X14" i="7" s="1"/>
  <c r="G159" i="5"/>
  <c r="G160" i="5"/>
  <c r="H160" i="5" s="1"/>
  <c r="L32" i="1" s="1"/>
  <c r="Y14" i="7" s="1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H174" i="5" s="1"/>
  <c r="N32" i="1" s="1"/>
  <c r="AA14" i="7" s="1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H188" i="5" s="1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H209" i="5" s="1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H223" i="5" s="1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H237" i="5" s="1"/>
  <c r="G243" i="5"/>
  <c r="G244" i="5"/>
  <c r="G245" i="5"/>
  <c r="G246" i="5"/>
  <c r="G247" i="5"/>
  <c r="G248" i="5"/>
  <c r="G249" i="5"/>
  <c r="G250" i="5"/>
  <c r="G251" i="5"/>
  <c r="G252" i="5"/>
  <c r="G253" i="5"/>
  <c r="G254" i="5"/>
  <c r="H251" i="5" s="1"/>
  <c r="G255" i="5"/>
  <c r="G256" i="5"/>
  <c r="G257" i="5"/>
  <c r="G258" i="5"/>
  <c r="H258" i="5" s="1"/>
  <c r="G259" i="5"/>
  <c r="G260" i="5"/>
  <c r="G261" i="5"/>
  <c r="G262" i="5"/>
  <c r="G263" i="5"/>
  <c r="G264" i="5"/>
  <c r="G265" i="5"/>
  <c r="G266" i="5"/>
  <c r="G267" i="5"/>
  <c r="G268" i="5"/>
  <c r="G269" i="5"/>
  <c r="G270" i="5"/>
  <c r="H265" i="5" s="1"/>
  <c r="G271" i="5"/>
  <c r="G272" i="5"/>
  <c r="H272" i="5" s="1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H286" i="5" s="1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H300" i="5" s="1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H314" i="5" s="1"/>
  <c r="G319" i="5"/>
  <c r="G320" i="5"/>
  <c r="G321" i="5"/>
  <c r="G322" i="5"/>
  <c r="H321" i="5" s="1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H335" i="5" s="1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H13" i="4" s="1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H27" i="4" s="1"/>
  <c r="F11" i="1" s="1"/>
  <c r="F10" i="7" s="1"/>
  <c r="G33" i="4"/>
  <c r="G34" i="4"/>
  <c r="H34" i="4" s="1"/>
  <c r="G11" i="1" s="1"/>
  <c r="G10" i="7" s="1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H48" i="4" s="1"/>
  <c r="I11" i="1" s="1"/>
  <c r="I10" i="7" s="1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K11" i="1"/>
  <c r="K10" i="7" s="1"/>
  <c r="H76" i="4"/>
  <c r="M11" i="1" s="1"/>
  <c r="M10" i="7" s="1"/>
  <c r="H83" i="4"/>
  <c r="N11" i="1" s="1"/>
  <c r="N10" i="7" s="1"/>
  <c r="E22" i="6" s="1"/>
  <c r="H97" i="4"/>
  <c r="C28" i="1" s="1"/>
  <c r="P10" i="7" s="1"/>
  <c r="E24" i="6" s="1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H125" i="4" s="1"/>
  <c r="G28" i="1" s="1"/>
  <c r="T10" i="7" s="1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H139" i="4" s="1"/>
  <c r="I28" i="1" s="1"/>
  <c r="V10" i="7" s="1"/>
  <c r="G143" i="4"/>
  <c r="G144" i="4"/>
  <c r="G145" i="4"/>
  <c r="G146" i="4"/>
  <c r="H146" i="4" s="1"/>
  <c r="J28" i="1" s="1"/>
  <c r="W10" i="7" s="1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H181" i="4" s="1"/>
  <c r="G184" i="4"/>
  <c r="G185" i="4"/>
  <c r="G186" i="4"/>
  <c r="G187" i="4"/>
  <c r="G188" i="4"/>
  <c r="H188" i="4" s="1"/>
  <c r="G189" i="4"/>
  <c r="G190" i="4"/>
  <c r="G191" i="4"/>
  <c r="G192" i="4"/>
  <c r="G193" i="4"/>
  <c r="G194" i="4"/>
  <c r="G195" i="4"/>
  <c r="G196" i="4"/>
  <c r="G197" i="4"/>
  <c r="G198" i="4"/>
  <c r="G199" i="4"/>
  <c r="H195" i="4" s="1"/>
  <c r="G200" i="4"/>
  <c r="G201" i="4"/>
  <c r="G202" i="4"/>
  <c r="G203" i="4"/>
  <c r="G204" i="4"/>
  <c r="G205" i="4"/>
  <c r="G206" i="4"/>
  <c r="H202" i="4" s="1"/>
  <c r="G207" i="4"/>
  <c r="G208" i="4"/>
  <c r="G209" i="4"/>
  <c r="G210" i="4"/>
  <c r="H209" i="4" s="1"/>
  <c r="G211" i="4"/>
  <c r="G212" i="4"/>
  <c r="G213" i="4"/>
  <c r="G214" i="4"/>
  <c r="G215" i="4"/>
  <c r="G216" i="4"/>
  <c r="G217" i="4"/>
  <c r="G218" i="4"/>
  <c r="G219" i="4"/>
  <c r="G220" i="4"/>
  <c r="G221" i="4"/>
  <c r="G222" i="4"/>
  <c r="H216" i="4" s="1"/>
  <c r="G223" i="4"/>
  <c r="H223" i="4" s="1"/>
  <c r="G224" i="4"/>
  <c r="G225" i="4"/>
  <c r="G226" i="4"/>
  <c r="G227" i="4"/>
  <c r="G228" i="4"/>
  <c r="G229" i="4"/>
  <c r="G230" i="4"/>
  <c r="G231" i="4"/>
  <c r="H230" i="4" s="1"/>
  <c r="G232" i="4"/>
  <c r="G233" i="4"/>
  <c r="G234" i="4"/>
  <c r="G235" i="4"/>
  <c r="G236" i="4"/>
  <c r="G237" i="4"/>
  <c r="G238" i="4"/>
  <c r="H237" i="4" s="1"/>
  <c r="G239" i="4"/>
  <c r="G240" i="4"/>
  <c r="G241" i="4"/>
  <c r="G242" i="4"/>
  <c r="G243" i="4"/>
  <c r="G244" i="4"/>
  <c r="G245" i="4"/>
  <c r="G246" i="4"/>
  <c r="G247" i="4"/>
  <c r="H244" i="4" s="1"/>
  <c r="G248" i="4"/>
  <c r="G249" i="4"/>
  <c r="G250" i="4"/>
  <c r="G251" i="4"/>
  <c r="G252" i="4"/>
  <c r="G253" i="4"/>
  <c r="G254" i="4"/>
  <c r="H251" i="4" s="1"/>
  <c r="G255" i="4"/>
  <c r="G256" i="4"/>
  <c r="G257" i="4"/>
  <c r="G258" i="4"/>
  <c r="H258" i="4" s="1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H286" i="4" s="1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H307" i="4" s="1"/>
  <c r="G312" i="4"/>
  <c r="G313" i="4"/>
  <c r="G314" i="4"/>
  <c r="G315" i="4"/>
  <c r="G316" i="4"/>
  <c r="H314" i="4" s="1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H328" i="4" s="1"/>
  <c r="G335" i="4"/>
  <c r="H335" i="4" s="1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H349" i="4" s="1"/>
  <c r="G351" i="4"/>
  <c r="G352" i="4"/>
  <c r="G353" i="4"/>
  <c r="G354" i="4"/>
  <c r="G355" i="4"/>
  <c r="G356" i="4"/>
  <c r="G357" i="4"/>
  <c r="G358" i="4"/>
  <c r="G359" i="4"/>
  <c r="H356" i="4" s="1"/>
  <c r="G360" i="4"/>
  <c r="G361" i="4"/>
  <c r="G362" i="4"/>
  <c r="G363" i="4"/>
  <c r="G364" i="4"/>
  <c r="G365" i="4"/>
  <c r="G366" i="4"/>
  <c r="G367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H13" i="3" s="1"/>
  <c r="D7" i="1" s="1"/>
  <c r="D6" i="7" s="1"/>
  <c r="D12" i="6" s="1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H34" i="3" s="1"/>
  <c r="G7" i="1" s="1"/>
  <c r="G6" i="7" s="1"/>
  <c r="D15" i="6" s="1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H48" i="3" s="1"/>
  <c r="I7" i="1" s="1"/>
  <c r="I6" i="7" s="1"/>
  <c r="D17" i="6" s="1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H62" i="3" s="1"/>
  <c r="K7" i="1" s="1"/>
  <c r="K6" i="7" s="1"/>
  <c r="D19" i="6" s="1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H76" i="3" s="1"/>
  <c r="M7" i="1" s="1"/>
  <c r="M6" i="7" s="1"/>
  <c r="D21" i="6" s="1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C24" i="1" s="1"/>
  <c r="P6" i="7" s="1"/>
  <c r="D24" i="6" s="1"/>
  <c r="G99" i="3"/>
  <c r="G100" i="3"/>
  <c r="G101" i="3"/>
  <c r="G102" i="3"/>
  <c r="G103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H125" i="3" s="1"/>
  <c r="G126" i="3"/>
  <c r="G127" i="3"/>
  <c r="G128" i="3"/>
  <c r="G129" i="3"/>
  <c r="G130" i="3"/>
  <c r="G24" i="1" s="1"/>
  <c r="T6" i="7" s="1"/>
  <c r="G131" i="3"/>
  <c r="G132" i="3"/>
  <c r="H24" i="1" s="1"/>
  <c r="U6" i="7" s="1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J24" i="1" s="1"/>
  <c r="W6" i="7" s="1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N24" i="1" s="1"/>
  <c r="AA6" i="7" s="1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H13" i="2" s="1"/>
  <c r="D3" i="1" s="1"/>
  <c r="D2" i="7" s="1"/>
  <c r="C12" i="6" s="1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H27" i="2" s="1"/>
  <c r="F3" i="1" s="1"/>
  <c r="F2" i="7" s="1"/>
  <c r="C14" i="6" s="1"/>
  <c r="G33" i="2"/>
  <c r="G34" i="2"/>
  <c r="H34" i="2" s="1"/>
  <c r="G3" i="1" s="1"/>
  <c r="G2" i="7" s="1"/>
  <c r="C15" i="6" s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H48" i="2" s="1"/>
  <c r="I3" i="1" s="1"/>
  <c r="I2" i="7" s="1"/>
  <c r="C17" i="6" s="1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H62" i="2" s="1"/>
  <c r="K3" i="1" s="1"/>
  <c r="K2" i="7" s="1"/>
  <c r="C19" i="6" s="1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H90" i="2" s="1"/>
  <c r="B20" i="1" s="1"/>
  <c r="O2" i="7" s="1"/>
  <c r="C23" i="6" s="1"/>
  <c r="G97" i="2"/>
  <c r="G98" i="2"/>
  <c r="H97" i="2" s="1"/>
  <c r="C20" i="1" s="1"/>
  <c r="P2" i="7" s="1"/>
  <c r="C24" i="6" s="1"/>
  <c r="G99" i="2"/>
  <c r="G100" i="2"/>
  <c r="G101" i="2"/>
  <c r="G102" i="2"/>
  <c r="G103" i="2"/>
  <c r="G105" i="2"/>
  <c r="G106" i="2"/>
  <c r="G107" i="2"/>
  <c r="G108" i="2"/>
  <c r="G109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H125" i="2" s="1"/>
  <c r="G20" i="1" s="1"/>
  <c r="T2" i="7" s="1"/>
  <c r="G129" i="2"/>
  <c r="G130" i="2"/>
  <c r="G131" i="2"/>
  <c r="G132" i="2"/>
  <c r="G133" i="2"/>
  <c r="G134" i="2"/>
  <c r="H132" i="2" s="1"/>
  <c r="H20" i="1" s="1"/>
  <c r="U2" i="7" s="1"/>
  <c r="G135" i="2"/>
  <c r="G136" i="2"/>
  <c r="G137" i="2"/>
  <c r="G138" i="2"/>
  <c r="G139" i="2"/>
  <c r="G140" i="2"/>
  <c r="G141" i="2"/>
  <c r="G142" i="2"/>
  <c r="G143" i="2"/>
  <c r="G144" i="2"/>
  <c r="H139" i="2" s="1"/>
  <c r="I20" i="1" s="1"/>
  <c r="V2" i="7" s="1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H167" i="2" s="1"/>
  <c r="M20" i="1" s="1"/>
  <c r="Z2" i="7" s="1"/>
  <c r="G169" i="2"/>
  <c r="G170" i="2"/>
  <c r="G171" i="2"/>
  <c r="G172" i="2"/>
  <c r="G173" i="2"/>
  <c r="G174" i="2"/>
  <c r="G175" i="2"/>
  <c r="G176" i="2"/>
  <c r="H174" i="2" s="1"/>
  <c r="N20" i="1" s="1"/>
  <c r="AA2" i="7" s="1"/>
  <c r="G177" i="2"/>
  <c r="G178" i="2"/>
  <c r="G179" i="2"/>
  <c r="G180" i="2"/>
  <c r="G181" i="2"/>
  <c r="G182" i="2"/>
  <c r="H181" i="2" s="1"/>
  <c r="G183" i="2"/>
  <c r="G184" i="2"/>
  <c r="G185" i="2"/>
  <c r="G186" i="2"/>
  <c r="G187" i="2"/>
  <c r="G188" i="2"/>
  <c r="G189" i="2"/>
  <c r="G190" i="2"/>
  <c r="G191" i="2"/>
  <c r="G192" i="2"/>
  <c r="H188" i="2" s="1"/>
  <c r="G193" i="2"/>
  <c r="G194" i="2"/>
  <c r="G195" i="2"/>
  <c r="G196" i="2"/>
  <c r="G197" i="2"/>
  <c r="G198" i="2"/>
  <c r="H195" i="2" s="1"/>
  <c r="G199" i="2"/>
  <c r="G200" i="2"/>
  <c r="G201" i="2"/>
  <c r="G202" i="2"/>
  <c r="G203" i="2"/>
  <c r="G204" i="2"/>
  <c r="G205" i="2"/>
  <c r="G206" i="2"/>
  <c r="G207" i="2"/>
  <c r="G208" i="2"/>
  <c r="G209" i="2"/>
  <c r="G210" i="2"/>
  <c r="H209" i="2" s="1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H230" i="2" s="1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H251" i="2" s="1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H279" i="2" s="1"/>
  <c r="G280" i="2"/>
  <c r="G281" i="2"/>
  <c r="G282" i="2"/>
  <c r="G283" i="2"/>
  <c r="G284" i="2"/>
  <c r="G285" i="2"/>
  <c r="G286" i="2"/>
  <c r="G287" i="2"/>
  <c r="G288" i="2"/>
  <c r="H286" i="2" s="1"/>
  <c r="G289" i="2"/>
  <c r="G290" i="2"/>
  <c r="G291" i="2"/>
  <c r="G292" i="2"/>
  <c r="G293" i="2"/>
  <c r="G294" i="2"/>
  <c r="H293" i="2" s="1"/>
  <c r="G295" i="2"/>
  <c r="G296" i="2"/>
  <c r="G297" i="2"/>
  <c r="G298" i="2"/>
  <c r="G299" i="2"/>
  <c r="G300" i="2"/>
  <c r="G301" i="2"/>
  <c r="G302" i="2"/>
  <c r="G303" i="2"/>
  <c r="G304" i="2"/>
  <c r="H300" i="2" s="1"/>
  <c r="G305" i="2"/>
  <c r="G306" i="2"/>
  <c r="G307" i="2"/>
  <c r="G308" i="2"/>
  <c r="G309" i="2"/>
  <c r="G310" i="2"/>
  <c r="H307" i="2" s="1"/>
  <c r="G311" i="2"/>
  <c r="G312" i="2"/>
  <c r="G313" i="2"/>
  <c r="G314" i="2"/>
  <c r="G315" i="2"/>
  <c r="G316" i="2"/>
  <c r="G317" i="2"/>
  <c r="G318" i="2"/>
  <c r="G319" i="2"/>
  <c r="G320" i="2"/>
  <c r="H314" i="2" s="1"/>
  <c r="G321" i="2"/>
  <c r="G322" i="2"/>
  <c r="H321" i="2" s="1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H335" i="2" s="1"/>
  <c r="G339" i="2"/>
  <c r="G340" i="2"/>
  <c r="G341" i="2"/>
  <c r="G342" i="2"/>
  <c r="H342" i="2" s="1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H356" i="2" s="1"/>
  <c r="G359" i="2"/>
  <c r="G360" i="2"/>
  <c r="G361" i="2"/>
  <c r="G362" i="2"/>
  <c r="G363" i="2"/>
  <c r="G364" i="2"/>
  <c r="G365" i="2"/>
  <c r="G366" i="2"/>
  <c r="G367" i="2"/>
  <c r="G2" i="2"/>
  <c r="B16" i="7"/>
  <c r="C16" i="7"/>
  <c r="F55" i="6" s="1"/>
  <c r="D16" i="7"/>
  <c r="F56" i="6" s="1"/>
  <c r="E16" i="7"/>
  <c r="F57" i="6" s="1"/>
  <c r="F16" i="7"/>
  <c r="F58" i="6" s="1"/>
  <c r="G16" i="7"/>
  <c r="F59" i="6" s="1"/>
  <c r="H16" i="7"/>
  <c r="F60" i="6" s="1"/>
  <c r="I16" i="7"/>
  <c r="F61" i="6" s="1"/>
  <c r="J16" i="7"/>
  <c r="F62" i="6" s="1"/>
  <c r="K16" i="7"/>
  <c r="F63" i="6" s="1"/>
  <c r="L16" i="7"/>
  <c r="F64" i="6" s="1"/>
  <c r="M16" i="7"/>
  <c r="F65" i="6" s="1"/>
  <c r="N16" i="7"/>
  <c r="F66" i="6" s="1"/>
  <c r="O16" i="7"/>
  <c r="F67" i="6" s="1"/>
  <c r="P16" i="7"/>
  <c r="F68" i="6" s="1"/>
  <c r="Q16" i="7"/>
  <c r="F69" i="6" s="1"/>
  <c r="B15" i="7"/>
  <c r="C15" i="7"/>
  <c r="F33" i="6" s="1"/>
  <c r="D15" i="7"/>
  <c r="F34" i="6" s="1"/>
  <c r="E15" i="7"/>
  <c r="F35" i="6" s="1"/>
  <c r="F15" i="7"/>
  <c r="F36" i="6" s="1"/>
  <c r="G15" i="7"/>
  <c r="F37" i="6" s="1"/>
  <c r="H15" i="7"/>
  <c r="F38" i="6" s="1"/>
  <c r="I15" i="7"/>
  <c r="F39" i="6" s="1"/>
  <c r="F40" i="6"/>
  <c r="K15" i="7"/>
  <c r="F41" i="6" s="1"/>
  <c r="L15" i="7"/>
  <c r="F42" i="6" s="1"/>
  <c r="M15" i="7"/>
  <c r="F43" i="6" s="1"/>
  <c r="N15" i="7"/>
  <c r="F44" i="6" s="1"/>
  <c r="O15" i="7"/>
  <c r="F45" i="6" s="1"/>
  <c r="P15" i="7"/>
  <c r="F46" i="6" s="1"/>
  <c r="F47" i="6"/>
  <c r="B12" i="7"/>
  <c r="C12" i="7"/>
  <c r="E55" i="6" s="1"/>
  <c r="D12" i="7"/>
  <c r="E56" i="6" s="1"/>
  <c r="E12" i="7"/>
  <c r="E57" i="6" s="1"/>
  <c r="F12" i="7"/>
  <c r="E58" i="6" s="1"/>
  <c r="G12" i="7"/>
  <c r="E59" i="6" s="1"/>
  <c r="H12" i="7"/>
  <c r="E60" i="6" s="1"/>
  <c r="I12" i="7"/>
  <c r="E61" i="6" s="1"/>
  <c r="J12" i="7"/>
  <c r="E62" i="6" s="1"/>
  <c r="K12" i="7"/>
  <c r="E63" i="6" s="1"/>
  <c r="L12" i="7"/>
  <c r="E64" i="6" s="1"/>
  <c r="M12" i="7"/>
  <c r="E65" i="6" s="1"/>
  <c r="N12" i="7"/>
  <c r="E66" i="6" s="1"/>
  <c r="O12" i="7"/>
  <c r="E67" i="6" s="1"/>
  <c r="P12" i="7"/>
  <c r="E68" i="6" s="1"/>
  <c r="Q12" i="7"/>
  <c r="E69" i="6" s="1"/>
  <c r="B11" i="7"/>
  <c r="C11" i="7"/>
  <c r="E33" i="6" s="1"/>
  <c r="D11" i="7"/>
  <c r="E34" i="6" s="1"/>
  <c r="E11" i="7"/>
  <c r="E35" i="6" s="1"/>
  <c r="F11" i="7"/>
  <c r="E36" i="6" s="1"/>
  <c r="G11" i="7"/>
  <c r="E37" i="6" s="1"/>
  <c r="H11" i="7"/>
  <c r="E38" i="6" s="1"/>
  <c r="I11" i="7"/>
  <c r="E39" i="6" s="1"/>
  <c r="J11" i="7"/>
  <c r="E40" i="6" s="1"/>
  <c r="K11" i="7"/>
  <c r="E41" i="6" s="1"/>
  <c r="L11" i="7"/>
  <c r="E42" i="6" s="1"/>
  <c r="M11" i="7"/>
  <c r="E43" i="6" s="1"/>
  <c r="N11" i="7"/>
  <c r="E44" i="6" s="1"/>
  <c r="O11" i="7"/>
  <c r="E45" i="6" s="1"/>
  <c r="P11" i="7"/>
  <c r="E46" i="6" s="1"/>
  <c r="Q11" i="7"/>
  <c r="E47" i="6" s="1"/>
  <c r="B8" i="7"/>
  <c r="C8" i="7"/>
  <c r="D55" i="6" s="1"/>
  <c r="D8" i="7"/>
  <c r="D56" i="6" s="1"/>
  <c r="E8" i="7"/>
  <c r="D57" i="6" s="1"/>
  <c r="F8" i="7"/>
  <c r="D58" i="6" s="1"/>
  <c r="G8" i="7"/>
  <c r="D59" i="6" s="1"/>
  <c r="H8" i="7"/>
  <c r="D60" i="6" s="1"/>
  <c r="I8" i="7"/>
  <c r="D61" i="6" s="1"/>
  <c r="J8" i="7"/>
  <c r="D62" i="6" s="1"/>
  <c r="K8" i="7"/>
  <c r="D63" i="6" s="1"/>
  <c r="L8" i="7"/>
  <c r="D64" i="6" s="1"/>
  <c r="M8" i="7"/>
  <c r="D65" i="6" s="1"/>
  <c r="N8" i="7"/>
  <c r="D66" i="6" s="1"/>
  <c r="O8" i="7"/>
  <c r="D67" i="6" s="1"/>
  <c r="P8" i="7"/>
  <c r="D68" i="6" s="1"/>
  <c r="Q8" i="7"/>
  <c r="D69" i="6" s="1"/>
  <c r="B7" i="7"/>
  <c r="C7" i="7"/>
  <c r="D33" i="6" s="1"/>
  <c r="D7" i="7"/>
  <c r="D34" i="6" s="1"/>
  <c r="E7" i="7"/>
  <c r="D35" i="6" s="1"/>
  <c r="F7" i="7"/>
  <c r="D36" i="6" s="1"/>
  <c r="G7" i="7"/>
  <c r="D37" i="6" s="1"/>
  <c r="H7" i="7"/>
  <c r="D38" i="6" s="1"/>
  <c r="I7" i="7"/>
  <c r="D39" i="6" s="1"/>
  <c r="J7" i="7"/>
  <c r="D40" i="6" s="1"/>
  <c r="K7" i="7"/>
  <c r="D41" i="6" s="1"/>
  <c r="L7" i="7"/>
  <c r="D42" i="6" s="1"/>
  <c r="M7" i="7"/>
  <c r="D43" i="6" s="1"/>
  <c r="N7" i="7"/>
  <c r="D44" i="6" s="1"/>
  <c r="O7" i="7"/>
  <c r="D45" i="6" s="1"/>
  <c r="P7" i="7"/>
  <c r="D46" i="6" s="1"/>
  <c r="Q7" i="7"/>
  <c r="D47" i="6" s="1"/>
  <c r="B4" i="7"/>
  <c r="C4" i="7"/>
  <c r="B55" i="6" s="1"/>
  <c r="D4" i="7"/>
  <c r="E4" i="7"/>
  <c r="F4" i="7"/>
  <c r="G4" i="7"/>
  <c r="H4" i="7"/>
  <c r="I4" i="7"/>
  <c r="J4" i="7"/>
  <c r="K4" i="7"/>
  <c r="C63" i="6" s="1"/>
  <c r="L4" i="7"/>
  <c r="C64" i="6" s="1"/>
  <c r="M4" i="7"/>
  <c r="C65" i="6" s="1"/>
  <c r="N4" i="7"/>
  <c r="C66" i="6" s="1"/>
  <c r="O4" i="7"/>
  <c r="C67" i="6" s="1"/>
  <c r="P4" i="7"/>
  <c r="C68" i="6" s="1"/>
  <c r="Q4" i="7"/>
  <c r="B69" i="6" s="1"/>
  <c r="B3" i="7"/>
  <c r="C3" i="7"/>
  <c r="D3" i="7"/>
  <c r="E3" i="7"/>
  <c r="B35" i="6" s="1"/>
  <c r="F3" i="7"/>
  <c r="G3" i="7"/>
  <c r="H3" i="7"/>
  <c r="I3" i="7"/>
  <c r="J3" i="7"/>
  <c r="K3" i="7"/>
  <c r="L3" i="7"/>
  <c r="M3" i="7"/>
  <c r="B43" i="6" s="1"/>
  <c r="N3" i="7"/>
  <c r="C44" i="6" s="1"/>
  <c r="O3" i="7"/>
  <c r="C45" i="6" s="1"/>
  <c r="P3" i="7"/>
  <c r="C46" i="6" s="1"/>
  <c r="Q3" i="7"/>
  <c r="B47" i="6" s="1"/>
  <c r="O68" i="1" a="1"/>
  <c r="O68" i="1" s="1"/>
  <c r="O67" i="1" a="1"/>
  <c r="O67" i="1" s="1"/>
  <c r="O64" i="1" a="1"/>
  <c r="O64" i="1" s="1"/>
  <c r="O63" i="1" a="1"/>
  <c r="O63" i="1" s="1"/>
  <c r="O60" i="1" a="1"/>
  <c r="O60" i="1" s="1"/>
  <c r="O59" i="1" a="1"/>
  <c r="O59" i="1" s="1"/>
  <c r="O56" i="1" a="1"/>
  <c r="O56" i="1" s="1"/>
  <c r="O55" i="1" a="1"/>
  <c r="O55" i="1" s="1"/>
  <c r="O51" i="1" a="1"/>
  <c r="O51" i="1" s="1"/>
  <c r="O50" i="1" a="1"/>
  <c r="O50" i="1" s="1"/>
  <c r="O47" i="1" a="1"/>
  <c r="O47" i="1" s="1"/>
  <c r="O46" i="1" a="1"/>
  <c r="O46" i="1" s="1"/>
  <c r="O43" i="1" a="1"/>
  <c r="O43" i="1" s="1"/>
  <c r="O42" i="1" a="1"/>
  <c r="O42" i="1" s="1"/>
  <c r="O39" i="1" a="1"/>
  <c r="O39" i="1" s="1"/>
  <c r="O38" i="1" a="1"/>
  <c r="O38" i="1" s="1"/>
  <c r="O34" i="1" a="1"/>
  <c r="O34" i="1" s="1"/>
  <c r="O33" i="1" a="1"/>
  <c r="O33" i="1" s="1"/>
  <c r="O30" i="1" a="1"/>
  <c r="O30" i="1" s="1"/>
  <c r="O29" i="1" a="1"/>
  <c r="O29" i="1" s="1"/>
  <c r="O26" i="1" a="1"/>
  <c r="O26" i="1" s="1"/>
  <c r="O25" i="1" a="1"/>
  <c r="O25" i="1" s="1"/>
  <c r="O22" i="1" a="1"/>
  <c r="O22" i="1" s="1"/>
  <c r="O21" i="1" a="1"/>
  <c r="O21" i="1" s="1"/>
  <c r="O17" i="1" a="1"/>
  <c r="O17" i="1" s="1"/>
  <c r="O16" i="1" a="1"/>
  <c r="O16" i="1" s="1"/>
  <c r="O13" i="1" a="1"/>
  <c r="O13" i="1" s="1"/>
  <c r="O12" i="1" a="1"/>
  <c r="O12" i="1" s="1"/>
  <c r="O9" i="1" a="1"/>
  <c r="O9" i="1" s="1"/>
  <c r="O8" i="1" a="1"/>
  <c r="O8" i="1" s="1"/>
  <c r="O5" i="1" a="1"/>
  <c r="O5" i="1" s="1"/>
  <c r="O4" i="1" a="1"/>
  <c r="O4" i="1" s="1"/>
  <c r="H83" i="3"/>
  <c r="H69" i="3"/>
  <c r="H55" i="3"/>
  <c r="H41" i="3"/>
  <c r="H27" i="3"/>
  <c r="H20" i="3"/>
  <c r="H90" i="3"/>
  <c r="H20" i="5"/>
  <c r="H27" i="5"/>
  <c r="H41" i="5"/>
  <c r="H55" i="5"/>
  <c r="H62" i="5"/>
  <c r="K15" i="1" s="1"/>
  <c r="K14" i="7" s="1"/>
  <c r="F19" i="6" s="1"/>
  <c r="H69" i="5"/>
  <c r="L15" i="1" s="1"/>
  <c r="L14" i="7" s="1"/>
  <c r="F20" i="6" s="1"/>
  <c r="H83" i="5"/>
  <c r="H90" i="5"/>
  <c r="B32" i="1" s="1"/>
  <c r="O14" i="7" s="1"/>
  <c r="F23" i="6" s="1"/>
  <c r="H118" i="5"/>
  <c r="F32" i="1" s="1"/>
  <c r="S14" i="7" s="1"/>
  <c r="H132" i="5"/>
  <c r="H167" i="5"/>
  <c r="H181" i="5"/>
  <c r="H195" i="5"/>
  <c r="H202" i="5"/>
  <c r="H216" i="5"/>
  <c r="H230" i="5"/>
  <c r="H244" i="5"/>
  <c r="H279" i="5"/>
  <c r="H293" i="5"/>
  <c r="H307" i="5"/>
  <c r="H328" i="5"/>
  <c r="H342" i="5"/>
  <c r="H349" i="5"/>
  <c r="H356" i="5"/>
  <c r="H20" i="4"/>
  <c r="H41" i="4"/>
  <c r="H55" i="4"/>
  <c r="H69" i="4"/>
  <c r="B28" i="1"/>
  <c r="O10" i="7" s="1"/>
  <c r="H132" i="4"/>
  <c r="H153" i="4"/>
  <c r="H167" i="4"/>
  <c r="H174" i="4"/>
  <c r="N28" i="1" s="1"/>
  <c r="AA10" i="7" s="1"/>
  <c r="H265" i="4"/>
  <c r="H279" i="4"/>
  <c r="H293" i="4"/>
  <c r="H300" i="4"/>
  <c r="H342" i="4"/>
  <c r="H6" i="5"/>
  <c r="H2" i="5"/>
  <c r="M32" i="1"/>
  <c r="Z14" i="7" s="1"/>
  <c r="H32" i="1"/>
  <c r="U14" i="7" s="1"/>
  <c r="B24" i="1"/>
  <c r="K20" i="1"/>
  <c r="X2" i="7" s="1"/>
  <c r="N15" i="1"/>
  <c r="N14" i="7" s="1"/>
  <c r="F22" i="6" s="1"/>
  <c r="J15" i="1"/>
  <c r="J14" i="7" s="1"/>
  <c r="F18" i="6" s="1"/>
  <c r="H15" i="1"/>
  <c r="H14" i="7" s="1"/>
  <c r="F16" i="6" s="1"/>
  <c r="F15" i="1"/>
  <c r="F14" i="7" s="1"/>
  <c r="F14" i="6" s="1"/>
  <c r="E15" i="1"/>
  <c r="E14" i="7" s="1"/>
  <c r="F13" i="6" s="1"/>
  <c r="C15" i="1"/>
  <c r="C14" i="7" s="1"/>
  <c r="F11" i="6" s="1"/>
  <c r="B15" i="1"/>
  <c r="B14" i="7" s="1"/>
  <c r="L11" i="1"/>
  <c r="L10" i="7" s="1"/>
  <c r="J11" i="1"/>
  <c r="J10" i="7" s="1"/>
  <c r="B11" i="1"/>
  <c r="N7" i="1"/>
  <c r="N6" i="7" s="1"/>
  <c r="D22" i="6" s="1"/>
  <c r="L7" i="1"/>
  <c r="L6" i="7" s="1"/>
  <c r="D20" i="6" s="1"/>
  <c r="J7" i="1"/>
  <c r="J6" i="7" s="1"/>
  <c r="D18" i="6" s="1"/>
  <c r="H7" i="1"/>
  <c r="H6" i="7" s="1"/>
  <c r="D16" i="6" s="1"/>
  <c r="F7" i="1"/>
  <c r="F6" i="7" s="1"/>
  <c r="D14" i="6" s="1"/>
  <c r="E7" i="1"/>
  <c r="E6" i="7" s="1"/>
  <c r="D13" i="6" s="1"/>
  <c r="C7" i="1"/>
  <c r="C6" i="7" s="1"/>
  <c r="D11" i="6" s="1"/>
  <c r="J3" i="1"/>
  <c r="J2" i="7" s="1"/>
  <c r="C18" i="6" s="1"/>
  <c r="H3" i="1"/>
  <c r="H2" i="7" s="1"/>
  <c r="C16" i="6" s="1"/>
  <c r="E3" i="1"/>
  <c r="E2" i="7" s="1"/>
  <c r="C13" i="6" s="1"/>
  <c r="E11" i="1"/>
  <c r="E10" i="7" s="1"/>
  <c r="H11" i="1"/>
  <c r="H10" i="7" s="1"/>
  <c r="H28" i="1"/>
  <c r="U10" i="7" s="1"/>
  <c r="K28" i="1"/>
  <c r="X10" i="7" s="1"/>
  <c r="M28" i="1"/>
  <c r="Z10" i="7" s="1"/>
  <c r="I24" i="1"/>
  <c r="V6" i="7" s="1"/>
  <c r="K24" i="1"/>
  <c r="X6" i="7" s="1"/>
  <c r="L24" i="1"/>
  <c r="Y6" i="7" s="1"/>
  <c r="M24" i="1"/>
  <c r="Z6" i="7" s="1"/>
  <c r="H20" i="2"/>
  <c r="H41" i="2"/>
  <c r="H55" i="2"/>
  <c r="H69" i="2"/>
  <c r="L3" i="1" s="1"/>
  <c r="L2" i="7" s="1"/>
  <c r="C20" i="6" s="1"/>
  <c r="H76" i="2"/>
  <c r="M3" i="1" s="1"/>
  <c r="M2" i="7" s="1"/>
  <c r="C21" i="6" s="1"/>
  <c r="H83" i="2"/>
  <c r="N3" i="1" s="1"/>
  <c r="N2" i="7" s="1"/>
  <c r="C22" i="6" s="1"/>
  <c r="H111" i="2"/>
  <c r="E20" i="1" s="1"/>
  <c r="R2" i="7" s="1"/>
  <c r="H118" i="2"/>
  <c r="F20" i="1" s="1"/>
  <c r="S2" i="7" s="1"/>
  <c r="H153" i="2"/>
  <c r="H202" i="2"/>
  <c r="H216" i="2"/>
  <c r="H223" i="2"/>
  <c r="H237" i="2"/>
  <c r="H244" i="2"/>
  <c r="H265" i="2"/>
  <c r="H328" i="2"/>
  <c r="H349" i="2"/>
  <c r="H6" i="3"/>
  <c r="H6" i="4"/>
  <c r="C11" i="1" s="1"/>
  <c r="C10" i="7" s="1"/>
  <c r="H2" i="4"/>
  <c r="H2" i="3"/>
  <c r="B7" i="1" s="1"/>
  <c r="B6" i="7" s="1"/>
  <c r="H6" i="2"/>
  <c r="C3" i="1" s="1"/>
  <c r="C2" i="7" s="1"/>
  <c r="C11" i="6" s="1"/>
  <c r="H2" i="2"/>
  <c r="B3" i="1" s="1"/>
  <c r="B2" i="7" s="1"/>
  <c r="I61" i="2"/>
  <c r="I2" i="2"/>
  <c r="D10" i="6" l="1"/>
  <c r="F10" i="6"/>
  <c r="B20" i="7" a="1"/>
  <c r="B20" i="7" s="1"/>
  <c r="B21" i="7" a="1"/>
  <c r="B21" i="7" s="1"/>
  <c r="D32" i="6"/>
  <c r="C20" i="7" a="1"/>
  <c r="C20" i="7" s="1"/>
  <c r="D54" i="6"/>
  <c r="C21" i="7" a="1"/>
  <c r="C21" i="7" s="1"/>
  <c r="E32" i="6"/>
  <c r="D20" i="7" a="1"/>
  <c r="D20" i="7" s="1"/>
  <c r="E54" i="6"/>
  <c r="D21" i="7" a="1"/>
  <c r="D21" i="7" s="1"/>
  <c r="F32" i="6"/>
  <c r="E20" i="7" a="1"/>
  <c r="E20" i="7" s="1"/>
  <c r="F54" i="6"/>
  <c r="E21" i="7" a="1"/>
  <c r="E21" i="7" s="1"/>
  <c r="H118" i="4"/>
  <c r="F28" i="1" s="1"/>
  <c r="S10" i="7" s="1"/>
  <c r="H118" i="3"/>
  <c r="F24" i="1" s="1"/>
  <c r="S6" i="7" s="1"/>
  <c r="C10" i="6"/>
  <c r="H111" i="5"/>
  <c r="E32" i="1" s="1"/>
  <c r="R14" i="7" s="1"/>
  <c r="H111" i="4"/>
  <c r="E28" i="1" s="1"/>
  <c r="R10" i="7" s="1"/>
  <c r="P7" i="1"/>
  <c r="E24" i="1"/>
  <c r="R6" i="7" s="1"/>
  <c r="D20" i="1"/>
  <c r="Q2" i="7" s="1"/>
  <c r="B49" i="1"/>
  <c r="P49" i="1" s="1"/>
  <c r="B54" i="1"/>
  <c r="P54" i="1" s="1"/>
  <c r="B58" i="1"/>
  <c r="P58" i="1" s="1"/>
  <c r="B62" i="1"/>
  <c r="P62" i="1" s="1"/>
  <c r="B41" i="1"/>
  <c r="P41" i="1" s="1"/>
  <c r="B66" i="1"/>
  <c r="P66" i="1" s="1"/>
  <c r="B45" i="1"/>
  <c r="P45" i="1" s="1"/>
  <c r="C32" i="1"/>
  <c r="P14" i="7" s="1"/>
  <c r="H97" i="5"/>
  <c r="H104" i="5"/>
  <c r="P15" i="1"/>
  <c r="B40" i="6"/>
  <c r="P3" i="1"/>
  <c r="B38" i="6"/>
  <c r="B42" i="6"/>
  <c r="B62" i="6"/>
  <c r="B57" i="6"/>
  <c r="B60" i="6"/>
  <c r="B59" i="6"/>
  <c r="B36" i="6"/>
  <c r="B56" i="6"/>
  <c r="B41" i="6"/>
  <c r="B39" i="6"/>
  <c r="B33" i="6"/>
  <c r="B61" i="6"/>
  <c r="B58" i="6"/>
  <c r="B34" i="6"/>
  <c r="B37" i="6"/>
  <c r="C43" i="6"/>
  <c r="B68" i="6"/>
  <c r="B67" i="6"/>
  <c r="B66" i="6"/>
  <c r="B65" i="6"/>
  <c r="C42" i="6"/>
  <c r="B64" i="6"/>
  <c r="C41" i="6"/>
  <c r="B63" i="6"/>
  <c r="B54" i="6"/>
  <c r="B32" i="6"/>
  <c r="B46" i="6"/>
  <c r="B45" i="6"/>
  <c r="B44" i="6"/>
  <c r="H104" i="4"/>
  <c r="D28" i="1" s="1"/>
  <c r="Q10" i="7" s="1"/>
  <c r="E25" i="6" s="1"/>
  <c r="D24" i="1"/>
  <c r="Q6" i="7" s="1"/>
  <c r="D25" i="6" s="1"/>
  <c r="C40" i="6"/>
  <c r="C62" i="6"/>
  <c r="C39" i="6"/>
  <c r="C61" i="6"/>
  <c r="C38" i="6"/>
  <c r="C60" i="6"/>
  <c r="C37" i="6"/>
  <c r="C59" i="6"/>
  <c r="C36" i="6"/>
  <c r="C58" i="6"/>
  <c r="C1" i="7"/>
  <c r="C35" i="6"/>
  <c r="C57" i="6"/>
  <c r="C34" i="6"/>
  <c r="C56" i="6"/>
  <c r="C33" i="6"/>
  <c r="C55" i="6"/>
  <c r="A54" i="6"/>
  <c r="A10" i="6"/>
  <c r="C32" i="6"/>
  <c r="C54" i="6"/>
  <c r="C47" i="6"/>
  <c r="C69" i="6"/>
  <c r="B18" i="6"/>
  <c r="B17" i="6"/>
  <c r="B14" i="6"/>
  <c r="B13" i="6"/>
  <c r="B21" i="6"/>
  <c r="B19" i="6"/>
  <c r="B11" i="6"/>
  <c r="B20" i="6"/>
  <c r="B16" i="6"/>
  <c r="B15" i="6"/>
  <c r="E23" i="6"/>
  <c r="E21" i="6"/>
  <c r="E20" i="6"/>
  <c r="E19" i="6"/>
  <c r="B22" i="6"/>
  <c r="E18" i="6"/>
  <c r="E17" i="6"/>
  <c r="E16" i="6"/>
  <c r="E15" i="6"/>
  <c r="E14" i="6"/>
  <c r="E13" i="6"/>
  <c r="E11" i="6"/>
  <c r="B25" i="7"/>
  <c r="E26" i="7"/>
  <c r="B26" i="7"/>
  <c r="D26" i="7"/>
  <c r="E25" i="7"/>
  <c r="C25" i="7"/>
  <c r="D25" i="7"/>
  <c r="C26" i="7"/>
  <c r="H272" i="2"/>
  <c r="H160" i="2"/>
  <c r="L20" i="1" s="1"/>
  <c r="Y2" i="7" s="1"/>
  <c r="H146" i="2"/>
  <c r="J20" i="1" s="1"/>
  <c r="W2" i="7" s="1"/>
  <c r="H258" i="2"/>
  <c r="O15" i="1" a="1"/>
  <c r="O15" i="1" s="1"/>
  <c r="H321" i="4"/>
  <c r="H272" i="4"/>
  <c r="H160" i="4"/>
  <c r="L28" i="1" s="1"/>
  <c r="Y10" i="7" s="1"/>
  <c r="D11" i="1"/>
  <c r="D10" i="7" s="1"/>
  <c r="B10" i="7"/>
  <c r="O7" i="1" a="1"/>
  <c r="O7" i="1" s="1"/>
  <c r="O6" i="7"/>
  <c r="B37" i="1"/>
  <c r="O3" i="1" a="1"/>
  <c r="O3" i="1" s="1"/>
  <c r="D32" i="1"/>
  <c r="Q14" i="7" s="1"/>
  <c r="F25" i="6" s="1"/>
  <c r="C37" i="1"/>
  <c r="AC2" i="7" s="1"/>
  <c r="AC6" i="7"/>
  <c r="AC14" i="7"/>
  <c r="AC10" i="7"/>
  <c r="D23" i="6" l="1"/>
  <c r="F24" i="6"/>
  <c r="C25" i="6"/>
  <c r="P28" i="1"/>
  <c r="P11" i="1"/>
  <c r="P24" i="1"/>
  <c r="AB10" i="7"/>
  <c r="AB2" i="7"/>
  <c r="P20" i="1"/>
  <c r="B24" i="6"/>
  <c r="P32" i="1"/>
  <c r="G6" i="6"/>
  <c r="O24" i="1" a="1"/>
  <c r="O24" i="1" s="1"/>
  <c r="E6" i="6"/>
  <c r="D1" i="7"/>
  <c r="A33" i="6"/>
  <c r="A11" i="6"/>
  <c r="A55" i="6"/>
  <c r="B25" i="6"/>
  <c r="B23" i="6"/>
  <c r="B10" i="6"/>
  <c r="E10" i="6"/>
  <c r="B12" i="6"/>
  <c r="E12" i="6"/>
  <c r="O32" i="1" a="1"/>
  <c r="O32" i="1" s="1"/>
  <c r="AB14" i="7"/>
  <c r="O28" i="1" a="1"/>
  <c r="O28" i="1" s="1"/>
  <c r="O11" i="1" a="1"/>
  <c r="O11" i="1" s="1"/>
  <c r="AB6" i="7"/>
  <c r="O20" i="1" a="1"/>
  <c r="O20" i="1" s="1"/>
  <c r="AD6" i="7"/>
  <c r="AD10" i="7"/>
  <c r="D37" i="1"/>
  <c r="AD2" i="7" s="1"/>
  <c r="E1" i="7" l="1"/>
  <c r="A34" i="6"/>
  <c r="A12" i="6"/>
  <c r="A56" i="6"/>
  <c r="AE6" i="7"/>
  <c r="AE10" i="7"/>
  <c r="E37" i="1"/>
  <c r="AE2" i="7" s="1"/>
  <c r="F1" i="7" l="1"/>
  <c r="A35" i="6"/>
  <c r="A13" i="6"/>
  <c r="A57" i="6"/>
  <c r="AD14" i="7"/>
  <c r="AF14" i="7"/>
  <c r="AF6" i="7"/>
  <c r="F37" i="1"/>
  <c r="AF2" i="7" s="1"/>
  <c r="AE14" i="7"/>
  <c r="A36" i="6" l="1"/>
  <c r="A14" i="6"/>
  <c r="A58" i="6"/>
  <c r="G1" i="7"/>
  <c r="G37" i="1"/>
  <c r="AG2" i="7" s="1"/>
  <c r="AG6" i="7"/>
  <c r="AG14" i="7"/>
  <c r="A37" i="6" l="1"/>
  <c r="A15" i="6"/>
  <c r="A59" i="6"/>
  <c r="H1" i="7"/>
  <c r="AF10" i="7"/>
  <c r="H37" i="1"/>
  <c r="AH2" i="7" s="1"/>
  <c r="AH6" i="7"/>
  <c r="AH14" i="7"/>
  <c r="AG10" i="7"/>
  <c r="A38" i="6" l="1"/>
  <c r="A16" i="6"/>
  <c r="A60" i="6"/>
  <c r="I1" i="7"/>
  <c r="I37" i="1"/>
  <c r="AI2" i="7" s="1"/>
  <c r="AI10" i="7"/>
  <c r="AI14" i="7"/>
  <c r="AH10" i="7"/>
  <c r="A39" i="6" l="1"/>
  <c r="A17" i="6"/>
  <c r="A61" i="6"/>
  <c r="J1" i="7"/>
  <c r="K37" i="1"/>
  <c r="AK2" i="7" s="1"/>
  <c r="J37" i="1"/>
  <c r="AJ2" i="7" s="1"/>
  <c r="AJ14" i="7"/>
  <c r="AJ10" i="7"/>
  <c r="A40" i="6" l="1"/>
  <c r="A18" i="6"/>
  <c r="A62" i="6"/>
  <c r="K1" i="7"/>
  <c r="AI6" i="7"/>
  <c r="AK10" i="7"/>
  <c r="L37" i="1"/>
  <c r="AL2" i="7" s="1"/>
  <c r="AK6" i="7"/>
  <c r="AK14" i="7"/>
  <c r="AJ6" i="7"/>
  <c r="A41" i="6" l="1"/>
  <c r="A19" i="6"/>
  <c r="A63" i="6"/>
  <c r="L1" i="7"/>
  <c r="AL6" i="7"/>
  <c r="AL14" i="7"/>
  <c r="AL10" i="7"/>
  <c r="A20" i="6" l="1"/>
  <c r="A42" i="6"/>
  <c r="A64" i="6"/>
  <c r="M1" i="7"/>
  <c r="AM10" i="7"/>
  <c r="M37" i="1"/>
  <c r="AM14" i="7"/>
  <c r="AM6" i="7"/>
  <c r="A21" i="6" l="1"/>
  <c r="A43" i="6"/>
  <c r="A65" i="6"/>
  <c r="N1" i="7"/>
  <c r="AM2" i="7"/>
  <c r="AN14" i="7"/>
  <c r="AN6" i="7"/>
  <c r="AN10" i="7"/>
  <c r="N37" i="1"/>
  <c r="AN2" i="7" l="1"/>
  <c r="P37" i="1"/>
  <c r="A44" i="6"/>
  <c r="A22" i="6"/>
  <c r="A66" i="6"/>
  <c r="O1" i="7"/>
  <c r="O49" i="1" a="1"/>
  <c r="O49" i="1" s="1"/>
  <c r="O45" i="1" a="1"/>
  <c r="O45" i="1" s="1"/>
  <c r="O41" i="1" a="1"/>
  <c r="O41" i="1" s="1"/>
  <c r="O37" i="1" a="1"/>
  <c r="O37" i="1" s="1"/>
  <c r="A45" i="6" l="1"/>
  <c r="A23" i="6"/>
  <c r="A67" i="6"/>
  <c r="P1" i="7"/>
  <c r="AO2" i="7"/>
  <c r="AP2" i="7"/>
  <c r="AQ2" i="7"/>
  <c r="AP6" i="7"/>
  <c r="AP14" i="7"/>
  <c r="A46" i="6" l="1"/>
  <c r="A24" i="6"/>
  <c r="A68" i="6"/>
  <c r="Q1" i="7"/>
  <c r="AO14" i="7"/>
  <c r="AO10" i="7"/>
  <c r="AO6" i="7"/>
  <c r="AR2" i="7"/>
  <c r="AQ10" i="7"/>
  <c r="AQ14" i="7"/>
  <c r="AQ6" i="7"/>
  <c r="AP10" i="7"/>
  <c r="A47" i="6" l="1"/>
  <c r="A25" i="6"/>
  <c r="A69" i="6"/>
  <c r="R1" i="7"/>
  <c r="S1" i="7" s="1"/>
  <c r="T1" i="7" s="1"/>
  <c r="U1" i="7" s="1"/>
  <c r="V1" i="7"/>
  <c r="AR10" i="7"/>
  <c r="AS2" i="7"/>
  <c r="AR14" i="7"/>
  <c r="W1" i="7" l="1"/>
  <c r="AS10" i="7"/>
  <c r="AS14" i="7"/>
  <c r="AT2" i="7"/>
  <c r="AR6" i="7" l="1"/>
  <c r="X1" i="7"/>
  <c r="AU2" i="7"/>
  <c r="AS6" i="7"/>
  <c r="Y1" i="7" l="1"/>
  <c r="AV2" i="7"/>
  <c r="AU14" i="7"/>
  <c r="AT6" i="7"/>
  <c r="AT14" i="7" l="1"/>
  <c r="AT10" i="7"/>
  <c r="Z1" i="7"/>
  <c r="AW2" i="7"/>
  <c r="AU6" i="7"/>
  <c r="AU10" i="7"/>
  <c r="AA1" i="7" l="1"/>
  <c r="AX2" i="7"/>
  <c r="AW14" i="7"/>
  <c r="AW6" i="7"/>
  <c r="AV10" i="7"/>
  <c r="AV6" i="7"/>
  <c r="AV14" i="7" l="1"/>
  <c r="AB1" i="7"/>
  <c r="AY2" i="7"/>
  <c r="AX14" i="7"/>
  <c r="AW10" i="7"/>
  <c r="AC1" i="7" l="1"/>
  <c r="AZ2" i="7"/>
  <c r="AY10" i="7"/>
  <c r="AY6" i="7"/>
  <c r="AX10" i="7"/>
  <c r="AX6" i="7" l="1"/>
  <c r="AD1" i="7"/>
  <c r="AZ10" i="7"/>
  <c r="AZ14" i="7"/>
  <c r="BA2" i="7"/>
  <c r="B19" i="7" s="1" a="1"/>
  <c r="B19" i="7" s="1"/>
  <c r="AZ6" i="7"/>
  <c r="B24" i="7" l="1"/>
  <c r="AY14" i="7"/>
  <c r="O54" i="1" a="1"/>
  <c r="O54" i="1" s="1"/>
  <c r="AE1" i="7"/>
  <c r="BA14" i="7"/>
  <c r="BA6" i="7"/>
  <c r="BA10" i="7"/>
  <c r="D24" i="7" l="1"/>
  <c r="D19" i="7" a="1"/>
  <c r="D19" i="7" s="1"/>
  <c r="C24" i="7"/>
  <c r="C19" i="7" a="1"/>
  <c r="C19" i="7" s="1"/>
  <c r="E19" i="7" a="1"/>
  <c r="E19" i="7" s="1"/>
  <c r="E24" i="7"/>
  <c r="A6" i="6" s="1"/>
  <c r="C6" i="6" s="1"/>
  <c r="O66" i="1" a="1"/>
  <c r="O66" i="1" s="1"/>
  <c r="O62" i="1" a="1"/>
  <c r="O62" i="1" s="1"/>
  <c r="O58" i="1" a="1"/>
  <c r="O58" i="1" s="1"/>
  <c r="AF1" i="7"/>
  <c r="AG1" i="7" l="1"/>
  <c r="AH1" i="7" l="1"/>
  <c r="AI1" i="7" l="1"/>
  <c r="AJ1" i="7" l="1"/>
  <c r="AK1" i="7" l="1"/>
  <c r="AL1" i="7" l="1"/>
  <c r="AM1" i="7" l="1"/>
  <c r="AN1" i="7" l="1"/>
  <c r="AO1" i="7" l="1"/>
  <c r="AP1" i="7" l="1"/>
  <c r="AQ1" i="7" l="1"/>
  <c r="AR1" i="7" l="1"/>
  <c r="AS1" i="7" l="1"/>
  <c r="AT1" i="7" l="1"/>
  <c r="AU1" i="7" l="1"/>
  <c r="AV1" i="7" l="1"/>
  <c r="AW1" i="7" l="1"/>
  <c r="AX1" i="7" l="1"/>
  <c r="AY1" i="7" l="1"/>
  <c r="AZ1" i="7" l="1"/>
  <c r="BA1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<sst xmlns="http://schemas.openxmlformats.org/spreadsheetml/2006/main" count="1865" uniqueCount="113">
  <si>
    <t>Game</t>
  </si>
  <si>
    <t>Taival - Wishlists</t>
  </si>
  <si>
    <t>Taival - Impressions</t>
  </si>
  <si>
    <t>Taival - Visits</t>
  </si>
  <si>
    <t>Colossus - Wishlists</t>
  </si>
  <si>
    <t>Colossus - Impressions</t>
  </si>
  <si>
    <t>Colossus - Visits</t>
  </si>
  <si>
    <t>Putania's Purgatory - Wishlists</t>
  </si>
  <si>
    <t>Putania's Purgatory - Impressions</t>
  </si>
  <si>
    <t>Putania's Purgatory - Visits</t>
  </si>
  <si>
    <t>Fleet Breakers - Wishlists</t>
  </si>
  <si>
    <t>Fleet Breakers - Impressions</t>
  </si>
  <si>
    <t>Fleet Breakers - Visits</t>
  </si>
  <si>
    <t>Latest WoW%</t>
  </si>
  <si>
    <t>Taival</t>
  </si>
  <si>
    <t>Colossus</t>
  </si>
  <si>
    <t>Putania's Purgatory</t>
  </si>
  <si>
    <t>Fleet Breakers</t>
  </si>
  <si>
    <t>Add Data on other sheets for this sheet to update.</t>
  </si>
  <si>
    <t>Wishlists</t>
  </si>
  <si>
    <t>Impressions</t>
  </si>
  <si>
    <t>Visits</t>
  </si>
  <si>
    <t>Total Achieved</t>
  </si>
  <si>
    <t>Quarter 1</t>
  </si>
  <si>
    <t>Quarter Totals</t>
  </si>
  <si>
    <t>1/4</t>
  </si>
  <si>
    <t>1/11</t>
  </si>
  <si>
    <t>1/18</t>
  </si>
  <si>
    <t>1/25</t>
  </si>
  <si>
    <t>2/1</t>
  </si>
  <si>
    <t>2/8</t>
  </si>
  <si>
    <t>2/15</t>
  </si>
  <si>
    <t>2/22</t>
  </si>
  <si>
    <t>3/1</t>
  </si>
  <si>
    <t>3/8</t>
  </si>
  <si>
    <t>3/15</t>
  </si>
  <si>
    <t>3/22</t>
  </si>
  <si>
    <t>3/29</t>
  </si>
  <si>
    <t>WoW%</t>
  </si>
  <si>
    <t>Total</t>
  </si>
  <si>
    <t>Colossus - Eternal Blight</t>
  </si>
  <si>
    <t>Impressions and Visits 
to be added manually here.</t>
  </si>
  <si>
    <r>
      <rPr>
        <b/>
        <sz val="11"/>
        <color theme="0"/>
        <rFont val="Calibri"/>
        <family val="2"/>
        <scheme val="minor"/>
      </rPr>
      <t>Quarter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2</t>
    </r>
  </si>
  <si>
    <t>4/5</t>
  </si>
  <si>
    <t>4/12</t>
  </si>
  <si>
    <t>4/19</t>
  </si>
  <si>
    <t>4/26</t>
  </si>
  <si>
    <t>5/3</t>
  </si>
  <si>
    <t>5/10</t>
  </si>
  <si>
    <t>5/16</t>
  </si>
  <si>
    <t>5/23</t>
  </si>
  <si>
    <t>5/30</t>
  </si>
  <si>
    <t>6/6</t>
  </si>
  <si>
    <t>6/13</t>
  </si>
  <si>
    <t>6/20</t>
  </si>
  <si>
    <t>6/27</t>
  </si>
  <si>
    <t>5/17</t>
  </si>
  <si>
    <t>5/24</t>
  </si>
  <si>
    <t>5/31</t>
  </si>
  <si>
    <t>6/7</t>
  </si>
  <si>
    <t>6/14</t>
  </si>
  <si>
    <t>6/21</t>
  </si>
  <si>
    <t>6/28</t>
  </si>
  <si>
    <r>
      <t>Quarter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3</t>
    </r>
  </si>
  <si>
    <t>7/4</t>
  </si>
  <si>
    <t>7/11</t>
  </si>
  <si>
    <t>7/18</t>
  </si>
  <si>
    <t>7/25</t>
  </si>
  <si>
    <t>8/1</t>
  </si>
  <si>
    <t>8/8</t>
  </si>
  <si>
    <t>8/15</t>
  </si>
  <si>
    <t>8/22</t>
  </si>
  <si>
    <t>8/29</t>
  </si>
  <si>
    <t>9/5</t>
  </si>
  <si>
    <t>9/12</t>
  </si>
  <si>
    <t>9/19</t>
  </si>
  <si>
    <t>9/26</t>
  </si>
  <si>
    <t>Quarter 4</t>
  </si>
  <si>
    <t>10/3</t>
  </si>
  <si>
    <t>10/10</t>
  </si>
  <si>
    <t>10/17</t>
  </si>
  <si>
    <t>10/24</t>
  </si>
  <si>
    <t>10/31</t>
  </si>
  <si>
    <t>11/7</t>
  </si>
  <si>
    <t>11/14</t>
  </si>
  <si>
    <t>11/21</t>
  </si>
  <si>
    <t>11/28</t>
  </si>
  <si>
    <t>12/5</t>
  </si>
  <si>
    <t>12/12</t>
  </si>
  <si>
    <t>12/19</t>
  </si>
  <si>
    <t>12/26</t>
  </si>
  <si>
    <t>DateLocal</t>
  </si>
  <si>
    <t>Adds</t>
  </si>
  <si>
    <t>Deletes</t>
  </si>
  <si>
    <t>Purchases And Activations</t>
  </si>
  <si>
    <t>Gifts</t>
  </si>
  <si>
    <t>Net Wishlist</t>
  </si>
  <si>
    <t>Weekly Net</t>
  </si>
  <si>
    <t>Monthly Net</t>
  </si>
  <si>
    <t>Data CSV. To be added here</t>
  </si>
  <si>
    <t>Petunia's Purgatory</t>
  </si>
  <si>
    <t>Fleetbreakers</t>
  </si>
  <si>
    <t>🎮 Steam Games Dashboard</t>
  </si>
  <si>
    <t>All Games</t>
  </si>
  <si>
    <t>Select Game:</t>
  </si>
  <si>
    <t>Total Wishlists</t>
  </si>
  <si>
    <t>Avg Visit→Wishlist</t>
  </si>
  <si>
    <t>Last Week Velocity</t>
  </si>
  <si>
    <t>Total Impressions</t>
  </si>
  <si>
    <t>📊 Weekly Wishlists</t>
  </si>
  <si>
    <t>Week</t>
  </si>
  <si>
    <t>📊 Weekly Impressions</t>
  </si>
  <si>
    <t>📊 Weekly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</si>
</sst>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"/>
  </numFmts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b/>
      <sz val="18"/>
      <color rgb="FF1B2838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B9AAA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2FAF4"/>
        <bgColor indexed="64"/>
      </patternFill>
    </fill>
    <fill>
      <patternFill patternType="solid">
        <fgColor rgb="FFFD670B"/>
        <bgColor indexed="64"/>
      </patternFill>
    </fill>
    <fill>
      <patternFill patternType="solid">
        <fgColor rgb="FF7F8389"/>
        <bgColor indexed="64"/>
      </patternFill>
    </fill>
    <fill>
      <patternFill patternType="solid">
        <fgColor rgb="FFA5A5A5"/>
      </patternFill>
    </fill>
    <fill>
      <patternFill patternType="solid">
        <fgColor rgb="FFFD670B"/>
        <bgColor rgb="FF000000"/>
      </patternFill>
    </fill>
  </fills>
  <borders count="21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1B9AAA"/>
      </top>
      <bottom/>
      <diagonal/>
    </border>
    <border>
      <left style="thin">
        <color rgb="FF1B9AAA"/>
      </left>
      <right/>
      <top style="thin">
        <color rgb="FF1B9AAA"/>
      </top>
      <bottom/>
      <diagonal/>
    </border>
    <border>
      <left style="thin">
        <color auto="1"/>
      </left>
      <right style="thin">
        <color auto="1"/>
      </right>
      <top style="thin">
        <color rgb="FF1B9AAA"/>
      </top>
      <bottom/>
      <diagonal/>
    </border>
    <border>
      <left/>
      <right style="thin">
        <color auto="1"/>
      </right>
      <top style="thin">
        <color rgb="FF1B9AAA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0" borderId="17" applyNumberFormat="0" applyAlignment="0" applyProtection="0"/>
  </cellStyleXfs>
  <cellXfs count="106">
    <xf numFmtId="0" fontId="0" fillId="0" borderId="0" xfId="0"/>
    <xf numFmtId="0" fontId="0" fillId="5" borderId="0" xfId="0" applyFill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3" borderId="2" xfId="0" applyFill="1" applyBorder="1" applyAlignment="1">
      <alignment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4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5" xfId="0" applyFill="1" applyBorder="1" applyAlignment="1">
      <alignment vertical="center"/>
    </xf>
    <xf numFmtId="16" fontId="0" fillId="0" borderId="0" xfId="0" applyNumberFormat="1" applyAlignment="1">
      <alignment vertical="center"/>
    </xf>
    <xf numFmtId="16" fontId="7" fillId="5" borderId="0" xfId="0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" fontId="3" fillId="10" borderId="6" xfId="0" applyNumberFormat="1" applyFont="1" applyFill="1" applyBorder="1" applyAlignment="1">
      <alignment vertical="center"/>
    </xf>
    <xf numFmtId="0" fontId="3" fillId="15" borderId="0" xfId="0" applyFont="1" applyFill="1"/>
    <xf numFmtId="0" fontId="10" fillId="11" borderId="2" xfId="0" applyFont="1" applyFill="1" applyBorder="1"/>
    <xf numFmtId="0" fontId="4" fillId="11" borderId="2" xfId="0" applyFont="1" applyFill="1" applyBorder="1" applyAlignment="1">
      <alignment horizontal="center" vertical="center"/>
    </xf>
    <xf numFmtId="0" fontId="10" fillId="12" borderId="2" xfId="0" applyFont="1" applyFill="1" applyBorder="1"/>
    <xf numFmtId="0" fontId="4" fillId="12" borderId="2" xfId="0" applyFont="1" applyFill="1" applyBorder="1" applyAlignment="1">
      <alignment horizontal="center" vertical="center"/>
    </xf>
    <xf numFmtId="0" fontId="10" fillId="13" borderId="2" xfId="0" applyFont="1" applyFill="1" applyBorder="1"/>
    <xf numFmtId="0" fontId="4" fillId="13" borderId="2" xfId="0" applyFont="1" applyFill="1" applyBorder="1" applyAlignment="1">
      <alignment horizontal="center" vertical="center"/>
    </xf>
    <xf numFmtId="0" fontId="10" fillId="14" borderId="2" xfId="0" applyFont="1" applyFill="1" applyBorder="1"/>
    <xf numFmtId="0" fontId="4" fillId="14" borderId="2" xfId="0" applyFont="1" applyFill="1" applyBorder="1" applyAlignment="1">
      <alignment horizontal="center" vertical="center"/>
    </xf>
    <xf numFmtId="0" fontId="7" fillId="0" borderId="2" xfId="0" applyFont="1" applyBorder="1"/>
    <xf numFmtId="164" fontId="4" fillId="11" borderId="2" xfId="0" applyNumberFormat="1" applyFont="1" applyFill="1" applyBorder="1"/>
    <xf numFmtId="164" fontId="4" fillId="12" borderId="2" xfId="0" applyNumberFormat="1" applyFont="1" applyFill="1" applyBorder="1"/>
    <xf numFmtId="164" fontId="4" fillId="13" borderId="2" xfId="0" applyNumberFormat="1" applyFont="1" applyFill="1" applyBorder="1"/>
    <xf numFmtId="164" fontId="4" fillId="14" borderId="2" xfId="0" applyNumberFormat="1" applyFont="1" applyFill="1" applyBorder="1"/>
    <xf numFmtId="165" fontId="3" fillId="15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15" borderId="2" xfId="0" applyFont="1" applyFill="1" applyBorder="1"/>
    <xf numFmtId="0" fontId="7" fillId="5" borderId="0" xfId="0" applyFont="1" applyFill="1"/>
    <xf numFmtId="164" fontId="4" fillId="5" borderId="0" xfId="0" applyNumberFormat="1" applyFont="1" applyFill="1"/>
    <xf numFmtId="0" fontId="10" fillId="5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3" fontId="5" fillId="16" borderId="2" xfId="0" applyNumberFormat="1" applyFont="1" applyFill="1" applyBorder="1" applyAlignment="1">
      <alignment horizontal="center"/>
    </xf>
    <xf numFmtId="16" fontId="5" fillId="16" borderId="2" xfId="0" applyNumberFormat="1" applyFont="1" applyFill="1" applyBorder="1" applyAlignment="1">
      <alignment horizontal="left"/>
    </xf>
    <xf numFmtId="0" fontId="3" fillId="18" borderId="2" xfId="0" applyFont="1" applyFill="1" applyBorder="1" applyAlignment="1">
      <alignment horizontal="center" vertical="center"/>
    </xf>
    <xf numFmtId="0" fontId="12" fillId="19" borderId="15" xfId="0" applyFont="1" applyFill="1" applyBorder="1" applyAlignment="1">
      <alignment horizontal="center"/>
    </xf>
    <xf numFmtId="0" fontId="11" fillId="19" borderId="13" xfId="0" applyFont="1" applyFill="1" applyBorder="1" applyAlignment="1">
      <alignment horizontal="center"/>
    </xf>
    <xf numFmtId="0" fontId="11" fillId="19" borderId="16" xfId="0" applyFont="1" applyFill="1" applyBorder="1" applyAlignment="1">
      <alignment horizontal="center"/>
    </xf>
    <xf numFmtId="16" fontId="1" fillId="19" borderId="4" xfId="0" applyNumberFormat="1" applyFont="1" applyFill="1" applyBorder="1" applyAlignment="1">
      <alignment horizontal="center"/>
    </xf>
    <xf numFmtId="3" fontId="1" fillId="19" borderId="4" xfId="0" applyNumberFormat="1" applyFont="1" applyFill="1" applyBorder="1" applyAlignment="1">
      <alignment horizontal="center"/>
    </xf>
    <xf numFmtId="0" fontId="1" fillId="19" borderId="7" xfId="0" applyFont="1" applyFill="1" applyBorder="1" applyAlignment="1">
      <alignment horizontal="center"/>
    </xf>
    <xf numFmtId="0" fontId="1" fillId="19" borderId="11" xfId="0" applyFont="1" applyFill="1" applyBorder="1" applyAlignment="1">
      <alignment horizontal="center"/>
    </xf>
    <xf numFmtId="0" fontId="11" fillId="19" borderId="15" xfId="0" applyFont="1" applyFill="1" applyBorder="1" applyAlignment="1">
      <alignment horizontal="center"/>
    </xf>
    <xf numFmtId="16" fontId="11" fillId="19" borderId="4" xfId="0" applyNumberFormat="1" applyFont="1" applyFill="1" applyBorder="1" applyAlignment="1">
      <alignment horizontal="center"/>
    </xf>
    <xf numFmtId="3" fontId="11" fillId="19" borderId="4" xfId="0" applyNumberFormat="1" applyFont="1" applyFill="1" applyBorder="1" applyAlignment="1">
      <alignment horizontal="center"/>
    </xf>
    <xf numFmtId="0" fontId="11" fillId="19" borderId="7" xfId="0" applyFont="1" applyFill="1" applyBorder="1" applyAlignment="1">
      <alignment horizontal="center"/>
    </xf>
    <xf numFmtId="0" fontId="11" fillId="19" borderId="11" xfId="0" applyFont="1" applyFill="1" applyBorder="1" applyAlignment="1">
      <alignment horizontal="center"/>
    </xf>
    <xf numFmtId="0" fontId="5" fillId="5" borderId="0" xfId="0" applyFont="1" applyFill="1"/>
    <xf numFmtId="0" fontId="5" fillId="0" borderId="0" xfId="0" applyFont="1"/>
    <xf numFmtId="0" fontId="3" fillId="21" borderId="6" xfId="0" applyFont="1" applyFill="1" applyBorder="1" applyAlignment="1">
      <alignment horizontal="center" vertical="center"/>
    </xf>
    <xf numFmtId="0" fontId="1" fillId="20" borderId="17" xfId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3" fillId="15" borderId="2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left"/>
    </xf>
    <xf numFmtId="3" fontId="4" fillId="11" borderId="2" xfId="0" applyNumberFormat="1" applyFont="1" applyFill="1" applyBorder="1" applyAlignment="1">
      <alignment horizontal="right"/>
    </xf>
    <xf numFmtId="3" fontId="4" fillId="12" borderId="2" xfId="0" applyNumberFormat="1" applyFont="1" applyFill="1" applyBorder="1" applyAlignment="1">
      <alignment horizontal="right"/>
    </xf>
    <xf numFmtId="3" fontId="4" fillId="13" borderId="2" xfId="0" applyNumberFormat="1" applyFont="1" applyFill="1" applyBorder="1" applyAlignment="1">
      <alignment horizontal="right"/>
    </xf>
    <xf numFmtId="3" fontId="4" fillId="14" borderId="2" xfId="0" applyNumberFormat="1" applyFont="1" applyFill="1" applyBorder="1" applyAlignment="1">
      <alignment horizontal="right"/>
    </xf>
    <xf numFmtId="3" fontId="4" fillId="0" borderId="0" xfId="0" applyNumberFormat="1" applyFont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14" fillId="17" borderId="10" xfId="0" applyNumberFormat="1" applyFont="1" applyFill="1" applyBorder="1" applyAlignment="1">
      <alignment horizontal="center" vertical="center"/>
    </xf>
    <xf numFmtId="3" fontId="14" fillId="17" borderId="12" xfId="0" applyNumberFormat="1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1" fillId="19" borderId="9" xfId="0" applyFont="1" applyFill="1" applyBorder="1" applyAlignment="1">
      <alignment horizontal="center" vertical="center"/>
    </xf>
    <xf numFmtId="0" fontId="11" fillId="19" borderId="7" xfId="0" applyFont="1" applyFill="1" applyBorder="1" applyAlignment="1">
      <alignment horizontal="center" vertical="center"/>
    </xf>
    <xf numFmtId="3" fontId="14" fillId="17" borderId="8" xfId="0" applyNumberFormat="1" applyFont="1" applyFill="1" applyBorder="1" applyAlignment="1">
      <alignment horizontal="center" vertical="center"/>
    </xf>
    <xf numFmtId="10" fontId="14" fillId="17" borderId="10" xfId="0" applyNumberFormat="1" applyFont="1" applyFill="1" applyBorder="1" applyAlignment="1">
      <alignment horizontal="center" vertical="center"/>
    </xf>
    <xf numFmtId="10" fontId="14" fillId="17" borderId="8" xfId="0" applyNumberFormat="1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0" fillId="5" borderId="0" xfId="0" applyFill="1" applyAlignment="1"/>
  </cellXfs>
  <cellStyles count="2">
    <cellStyle name="Check Cell" xfId="1" builtinId="23"/>
    <cellStyle name="Normal" xfId="0" builtinId="0"/>
  </cellStyles>
  <dxfs count="2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sz val="10"/>
        <color rgb="FF000000"/>
      </font>
      <numFmt numFmtId="0" formatCode="General"/>
      <alignment horizontal="center" vertical="center" textRotation="0" wrapText="0" indent="0" justifyLastLine="0" shrinkToFit="0" readingOrder="0"/>
    </dxf>
    <dxf>
      <font>
        <sz val="10"/>
        <color rgb="FF000000"/>
      </font>
      <numFmt numFmtId="164" formatCode="0.0%"/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  <border diagonalUp="0" diagonalDown="0">
        <left/>
        <right style="dotted">
          <color rgb="FF000000"/>
        </right>
        <top/>
        <bottom/>
        <vertical/>
        <horizontal/>
      </border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sz val="10"/>
        <color rgb="FF000000"/>
      </font>
      <alignment horizontal="general" vertical="center" textRotation="0" wrapText="0" indent="0" justifyLastLine="0" shrinkToFit="0" readingOrder="0"/>
    </dxf>
    <dxf>
      <font>
        <sz val="10"/>
        <color rgb="FF000000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1" formatCode="d\-mmm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1" formatCode="d\-mmm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indent="0" justifyLastLine="0" shrinkToFit="0" readingOrder="0"/>
    </dxf>
    <dxf>
      <numFmt numFmtId="21" formatCode="d\-mmm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4" formatCode="0.0%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general" vertical="center" textRotation="0" indent="0" justifyLastLine="0" shrinkToFit="0" readingOrder="0"/>
    </dxf>
    <dxf>
      <numFmt numFmtId="21" formatCode="d\-mmm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21" formatCode="d\-mmm"/>
      <fill>
        <patternFill patternType="solid">
          <fgColor rgb="FF000000"/>
          <bgColor rgb="FF44546A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/>
        <bottom/>
      </border>
    </dxf>
  </dxfs>
  <tableStyles count="0" defaultTableStyle="TableStyleMedium2" defaultPivotStyle="PivotStyleLight16"/>
  <colors>
    <mruColors>
      <color rgb="FFFD670B"/>
      <color rgb="FF7F8389"/>
      <color rgb="FF82FAF4"/>
      <color rgb="FFF0C9F3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Taival - Impressions &amp;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605978306765705E-2"/>
          <c:y val="0.1713796654727138"/>
          <c:w val="0.9165180028172154"/>
          <c:h val="0.593829773651457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KPI'!$B$3:$S$3</c:f>
              <c:numCache>
                <c:formatCode>General</c:formatCode>
                <c:ptCount val="18"/>
                <c:pt idx="0">
                  <c:v>5095</c:v>
                </c:pt>
                <c:pt idx="1">
                  <c:v>6399</c:v>
                </c:pt>
                <c:pt idx="2">
                  <c:v>5490</c:v>
                </c:pt>
                <c:pt idx="3">
                  <c:v>5392</c:v>
                </c:pt>
                <c:pt idx="4">
                  <c:v>5225</c:v>
                </c:pt>
                <c:pt idx="5">
                  <c:v>4806</c:v>
                </c:pt>
                <c:pt idx="6">
                  <c:v>4560</c:v>
                </c:pt>
                <c:pt idx="7">
                  <c:v>4282</c:v>
                </c:pt>
                <c:pt idx="8">
                  <c:v>5673</c:v>
                </c:pt>
                <c:pt idx="9">
                  <c:v>3043</c:v>
                </c:pt>
                <c:pt idx="10">
                  <c:v>3184</c:v>
                </c:pt>
                <c:pt idx="11">
                  <c:v>3803</c:v>
                </c:pt>
                <c:pt idx="12">
                  <c:v>3196</c:v>
                </c:pt>
                <c:pt idx="13">
                  <c:v>3697</c:v>
                </c:pt>
                <c:pt idx="14">
                  <c:v>4970</c:v>
                </c:pt>
                <c:pt idx="15">
                  <c:v>14388</c:v>
                </c:pt>
                <c:pt idx="16">
                  <c:v>16730</c:v>
                </c:pt>
                <c:pt idx="17">
                  <c:v>14879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D8-4910-824B-C7FAD5415BD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KPI'!$B$4:$S$4</c:f>
              <c:numCache>
                <c:formatCode>General</c:formatCode>
                <c:ptCount val="18"/>
                <c:pt idx="0">
                  <c:v>1107</c:v>
                </c:pt>
                <c:pt idx="1">
                  <c:v>2049</c:v>
                </c:pt>
                <c:pt idx="2">
                  <c:v>1631</c:v>
                </c:pt>
                <c:pt idx="3">
                  <c:v>889</c:v>
                </c:pt>
                <c:pt idx="4">
                  <c:v>726</c:v>
                </c:pt>
                <c:pt idx="5">
                  <c:v>705</c:v>
                </c:pt>
                <c:pt idx="6">
                  <c:v>769</c:v>
                </c:pt>
                <c:pt idx="7">
                  <c:v>704</c:v>
                </c:pt>
                <c:pt idx="8">
                  <c:v>906</c:v>
                </c:pt>
                <c:pt idx="9">
                  <c:v>680</c:v>
                </c:pt>
                <c:pt idx="10">
                  <c:v>507</c:v>
                </c:pt>
                <c:pt idx="11">
                  <c:v>618</c:v>
                </c:pt>
                <c:pt idx="12">
                  <c:v>595</c:v>
                </c:pt>
                <c:pt idx="13">
                  <c:v>1276</c:v>
                </c:pt>
                <c:pt idx="14">
                  <c:v>2020</c:v>
                </c:pt>
                <c:pt idx="15">
                  <c:v>2147</c:v>
                </c:pt>
                <c:pt idx="16">
                  <c:v>14587</c:v>
                </c:pt>
                <c:pt idx="17">
                  <c:v>6087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D8-4910-824B-C7FAD5415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588992"/>
        <c:axId val="1254589472"/>
      </c:lineChart>
      <c:dateAx>
        <c:axId val="1254588992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589472"/>
        <c:crosses val="autoZero"/>
        <c:auto val="1"/>
        <c:lblOffset val="100"/>
        <c:baseTimeUnit val="days"/>
      </c:dateAx>
      <c:valAx>
        <c:axId val="125458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58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Colossus - Impressions &amp;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KPI'!$B$7:$S$7</c:f>
              <c:numCache>
                <c:formatCode>General</c:formatCode>
                <c:ptCount val="18"/>
                <c:pt idx="0">
                  <c:v>1568</c:v>
                </c:pt>
                <c:pt idx="1">
                  <c:v>1879</c:v>
                </c:pt>
                <c:pt idx="2">
                  <c:v>2210</c:v>
                </c:pt>
                <c:pt idx="3">
                  <c:v>2066</c:v>
                </c:pt>
                <c:pt idx="4">
                  <c:v>3259</c:v>
                </c:pt>
                <c:pt idx="5">
                  <c:v>2320</c:v>
                </c:pt>
                <c:pt idx="6">
                  <c:v>2324</c:v>
                </c:pt>
                <c:pt idx="7">
                  <c:v>2304</c:v>
                </c:pt>
                <c:pt idx="8">
                  <c:v>2222</c:v>
                </c:pt>
                <c:pt idx="9">
                  <c:v>1967</c:v>
                </c:pt>
                <c:pt idx="10">
                  <c:v>4553</c:v>
                </c:pt>
                <c:pt idx="11">
                  <c:v>6425</c:v>
                </c:pt>
                <c:pt idx="12">
                  <c:v>5374</c:v>
                </c:pt>
                <c:pt idx="13">
                  <c:v>3631</c:v>
                </c:pt>
                <c:pt idx="14">
                  <c:v>3253</c:v>
                </c:pt>
                <c:pt idx="15">
                  <c:v>14258</c:v>
                </c:pt>
                <c:pt idx="16">
                  <c:v>6946</c:v>
                </c:pt>
                <c:pt idx="17">
                  <c:v>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9-414E-870F-897BAD61EE3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KPI'!$B$8:$S$8</c:f>
              <c:numCache>
                <c:formatCode>General</c:formatCode>
                <c:ptCount val="18"/>
                <c:pt idx="0">
                  <c:v>424</c:v>
                </c:pt>
                <c:pt idx="1">
                  <c:v>682</c:v>
                </c:pt>
                <c:pt idx="2">
                  <c:v>591</c:v>
                </c:pt>
                <c:pt idx="3">
                  <c:v>765</c:v>
                </c:pt>
                <c:pt idx="4">
                  <c:v>1007</c:v>
                </c:pt>
                <c:pt idx="5">
                  <c:v>798</c:v>
                </c:pt>
                <c:pt idx="6">
                  <c:v>912</c:v>
                </c:pt>
                <c:pt idx="7">
                  <c:v>832</c:v>
                </c:pt>
                <c:pt idx="8">
                  <c:v>959</c:v>
                </c:pt>
                <c:pt idx="9">
                  <c:v>806</c:v>
                </c:pt>
                <c:pt idx="10">
                  <c:v>963</c:v>
                </c:pt>
                <c:pt idx="11">
                  <c:v>1339</c:v>
                </c:pt>
                <c:pt idx="12">
                  <c:v>1046</c:v>
                </c:pt>
                <c:pt idx="13">
                  <c:v>887</c:v>
                </c:pt>
                <c:pt idx="14">
                  <c:v>839</c:v>
                </c:pt>
                <c:pt idx="15">
                  <c:v>1232</c:v>
                </c:pt>
                <c:pt idx="16">
                  <c:v>1542</c:v>
                </c:pt>
                <c:pt idx="17">
                  <c:v>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69-414E-870F-897BAD61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4010304"/>
        <c:axId val="1344011264"/>
      </c:lineChart>
      <c:dateAx>
        <c:axId val="1344010304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011264"/>
        <c:crosses val="autoZero"/>
        <c:auto val="1"/>
        <c:lblOffset val="100"/>
        <c:baseTimeUnit val="days"/>
      </c:dateAx>
      <c:valAx>
        <c:axId val="13440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01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Putania's Purgatory - Impressions &amp;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KPI'!$B$11:$S$11</c:f>
              <c:numCache>
                <c:formatCode>General</c:formatCode>
                <c:ptCount val="18"/>
                <c:pt idx="0">
                  <c:v>3279</c:v>
                </c:pt>
                <c:pt idx="1">
                  <c:v>4700</c:v>
                </c:pt>
                <c:pt idx="2">
                  <c:v>3386</c:v>
                </c:pt>
                <c:pt idx="3">
                  <c:v>2992</c:v>
                </c:pt>
                <c:pt idx="4">
                  <c:v>3010</c:v>
                </c:pt>
                <c:pt idx="5">
                  <c:v>3278</c:v>
                </c:pt>
                <c:pt idx="6">
                  <c:v>3624</c:v>
                </c:pt>
                <c:pt idx="7">
                  <c:v>3748</c:v>
                </c:pt>
                <c:pt idx="8">
                  <c:v>153264</c:v>
                </c:pt>
                <c:pt idx="9">
                  <c:v>16940</c:v>
                </c:pt>
                <c:pt idx="10">
                  <c:v>5171</c:v>
                </c:pt>
                <c:pt idx="11">
                  <c:v>3906</c:v>
                </c:pt>
                <c:pt idx="12">
                  <c:v>3455</c:v>
                </c:pt>
                <c:pt idx="13">
                  <c:v>3364</c:v>
                </c:pt>
                <c:pt idx="14">
                  <c:v>3463</c:v>
                </c:pt>
                <c:pt idx="15">
                  <c:v>2997</c:v>
                </c:pt>
                <c:pt idx="16">
                  <c:v>2844</c:v>
                </c:pt>
                <c:pt idx="17">
                  <c:v>2837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82-4BA1-A170-E8CCAF34D81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KPI'!$B$12:$S$12</c:f>
              <c:numCache>
                <c:formatCode>General</c:formatCode>
                <c:ptCount val="18"/>
                <c:pt idx="0">
                  <c:v>1513</c:v>
                </c:pt>
                <c:pt idx="1">
                  <c:v>833</c:v>
                </c:pt>
                <c:pt idx="2">
                  <c:v>795</c:v>
                </c:pt>
                <c:pt idx="3">
                  <c:v>690</c:v>
                </c:pt>
                <c:pt idx="4">
                  <c:v>1056</c:v>
                </c:pt>
                <c:pt idx="5">
                  <c:v>885</c:v>
                </c:pt>
                <c:pt idx="6">
                  <c:v>1126</c:v>
                </c:pt>
                <c:pt idx="7">
                  <c:v>906</c:v>
                </c:pt>
                <c:pt idx="8">
                  <c:v>5244</c:v>
                </c:pt>
                <c:pt idx="9">
                  <c:v>1617</c:v>
                </c:pt>
                <c:pt idx="10">
                  <c:v>1051</c:v>
                </c:pt>
                <c:pt idx="11">
                  <c:v>1005</c:v>
                </c:pt>
                <c:pt idx="12">
                  <c:v>4897</c:v>
                </c:pt>
                <c:pt idx="13">
                  <c:v>5782</c:v>
                </c:pt>
                <c:pt idx="14">
                  <c:v>7678</c:v>
                </c:pt>
                <c:pt idx="15">
                  <c:v>5615</c:v>
                </c:pt>
                <c:pt idx="16">
                  <c:v>5242</c:v>
                </c:pt>
                <c:pt idx="17">
                  <c:v>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82-4BA1-A170-E8CCAF34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323039"/>
        <c:axId val="1036323519"/>
      </c:lineChart>
      <c:dateAx>
        <c:axId val="1036323039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23519"/>
        <c:crosses val="autoZero"/>
        <c:auto val="1"/>
        <c:lblOffset val="100"/>
        <c:baseTimeUnit val="days"/>
      </c:dateAx>
      <c:valAx>
        <c:axId val="10363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2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Fleet Breakers - Impressions &amp;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KPI'!$B$15:$S$15</c:f>
              <c:numCache>
                <c:formatCode>General</c:formatCode>
                <c:ptCount val="18"/>
                <c:pt idx="0">
                  <c:v>5095</c:v>
                </c:pt>
                <c:pt idx="1">
                  <c:v>6399</c:v>
                </c:pt>
                <c:pt idx="2">
                  <c:v>5490</c:v>
                </c:pt>
                <c:pt idx="3">
                  <c:v>5392</c:v>
                </c:pt>
                <c:pt idx="4">
                  <c:v>5225</c:v>
                </c:pt>
                <c:pt idx="5">
                  <c:v>4806</c:v>
                </c:pt>
                <c:pt idx="6">
                  <c:v>4560</c:v>
                </c:pt>
                <c:pt idx="7">
                  <c:v>4282</c:v>
                </c:pt>
                <c:pt idx="8">
                  <c:v>4123</c:v>
                </c:pt>
                <c:pt idx="9">
                  <c:v>4376</c:v>
                </c:pt>
                <c:pt idx="10">
                  <c:v>3950</c:v>
                </c:pt>
                <c:pt idx="11">
                  <c:v>5167</c:v>
                </c:pt>
                <c:pt idx="12">
                  <c:v>4403</c:v>
                </c:pt>
                <c:pt idx="13">
                  <c:v>3652</c:v>
                </c:pt>
                <c:pt idx="14">
                  <c:v>3825</c:v>
                </c:pt>
                <c:pt idx="15">
                  <c:v>5291</c:v>
                </c:pt>
                <c:pt idx="16">
                  <c:v>4857</c:v>
                </c:pt>
                <c:pt idx="17">
                  <c:v>6270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F-4F29-8841-4745889DE28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KPI'!$B$16:$S$16</c:f>
              <c:numCache>
                <c:formatCode>General</c:formatCode>
                <c:ptCount val="18"/>
                <c:pt idx="0">
                  <c:v>1107</c:v>
                </c:pt>
                <c:pt idx="1">
                  <c:v>2049</c:v>
                </c:pt>
                <c:pt idx="2">
                  <c:v>1631</c:v>
                </c:pt>
                <c:pt idx="3">
                  <c:v>889</c:v>
                </c:pt>
                <c:pt idx="4">
                  <c:v>726</c:v>
                </c:pt>
                <c:pt idx="5">
                  <c:v>705</c:v>
                </c:pt>
                <c:pt idx="6">
                  <c:v>769</c:v>
                </c:pt>
                <c:pt idx="7">
                  <c:v>704</c:v>
                </c:pt>
                <c:pt idx="8">
                  <c:v>906</c:v>
                </c:pt>
                <c:pt idx="9">
                  <c:v>799</c:v>
                </c:pt>
                <c:pt idx="10">
                  <c:v>662</c:v>
                </c:pt>
                <c:pt idx="11">
                  <c:v>751</c:v>
                </c:pt>
                <c:pt idx="12">
                  <c:v>707</c:v>
                </c:pt>
                <c:pt idx="13">
                  <c:v>783</c:v>
                </c:pt>
                <c:pt idx="14">
                  <c:v>790</c:v>
                </c:pt>
                <c:pt idx="15">
                  <c:v>614</c:v>
                </c:pt>
                <c:pt idx="16">
                  <c:v>891</c:v>
                </c:pt>
                <c:pt idx="17">
                  <c:v>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8F-4F29-8841-4745889DE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5203376"/>
        <c:axId val="1335203856"/>
      </c:lineChart>
      <c:dateAx>
        <c:axId val="1335203376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03856"/>
        <c:crosses val="autoZero"/>
        <c:auto val="1"/>
        <c:lblOffset val="100"/>
        <c:baseTimeUnit val="days"/>
      </c:dateAx>
      <c:valAx>
        <c:axId val="13352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Taival - Wishlists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543997884431684E-2"/>
          <c:y val="0.17038992125984251"/>
          <c:w val="0.88407354838013308"/>
          <c:h val="0.8076400000000000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KPI'!$B$2:$S$2</c:f>
              <c:numCache>
                <c:formatCode>General</c:formatCode>
                <c:ptCount val="18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0</c:v>
                </c:pt>
                <c:pt idx="4">
                  <c:v>-2</c:v>
                </c:pt>
                <c:pt idx="5">
                  <c:v>-6</c:v>
                </c:pt>
                <c:pt idx="6">
                  <c:v>4</c:v>
                </c:pt>
                <c:pt idx="7">
                  <c:v>26</c:v>
                </c:pt>
                <c:pt idx="8">
                  <c:v>3</c:v>
                </c:pt>
                <c:pt idx="9">
                  <c:v>7</c:v>
                </c:pt>
                <c:pt idx="10">
                  <c:v>11</c:v>
                </c:pt>
                <c:pt idx="11">
                  <c:v>22</c:v>
                </c:pt>
                <c:pt idx="12">
                  <c:v>27</c:v>
                </c:pt>
                <c:pt idx="13">
                  <c:v>249</c:v>
                </c:pt>
                <c:pt idx="14">
                  <c:v>363</c:v>
                </c:pt>
                <c:pt idx="15">
                  <c:v>668</c:v>
                </c:pt>
                <c:pt idx="16">
                  <c:v>3186</c:v>
                </c:pt>
                <c:pt idx="17">
                  <c:v>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8-4DE8-83D7-D87420790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672208"/>
        <c:axId val="1410673168"/>
      </c:lineChart>
      <c:dateAx>
        <c:axId val="1410672208"/>
        <c:scaling>
          <c:orientation val="minMax"/>
        </c:scaling>
        <c:delete val="0"/>
        <c:axPos val="b"/>
        <c:numFmt formatCode="m/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73168"/>
        <c:crosses val="autoZero"/>
        <c:auto val="1"/>
        <c:lblOffset val="100"/>
        <c:baseTimeUnit val="days"/>
      </c:dateAx>
      <c:valAx>
        <c:axId val="14106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67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Colossus - Wishlists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KPI'!$B$6:$S$6</c:f>
              <c:numCache>
                <c:formatCode>General</c:formatCode>
                <c:ptCount val="18"/>
                <c:pt idx="0">
                  <c:v>22</c:v>
                </c:pt>
                <c:pt idx="1">
                  <c:v>22</c:v>
                </c:pt>
                <c:pt idx="2">
                  <c:v>23</c:v>
                </c:pt>
                <c:pt idx="3">
                  <c:v>20</c:v>
                </c:pt>
                <c:pt idx="4">
                  <c:v>286</c:v>
                </c:pt>
                <c:pt idx="5">
                  <c:v>90</c:v>
                </c:pt>
                <c:pt idx="6">
                  <c:v>132</c:v>
                </c:pt>
                <c:pt idx="7">
                  <c:v>54</c:v>
                </c:pt>
                <c:pt idx="8">
                  <c:v>89</c:v>
                </c:pt>
                <c:pt idx="9">
                  <c:v>69</c:v>
                </c:pt>
                <c:pt idx="10">
                  <c:v>95</c:v>
                </c:pt>
                <c:pt idx="11">
                  <c:v>218</c:v>
                </c:pt>
                <c:pt idx="12">
                  <c:v>106</c:v>
                </c:pt>
                <c:pt idx="13">
                  <c:v>83</c:v>
                </c:pt>
                <c:pt idx="14">
                  <c:v>92</c:v>
                </c:pt>
                <c:pt idx="15">
                  <c:v>295</c:v>
                </c:pt>
                <c:pt idx="16">
                  <c:v>514</c:v>
                </c:pt>
                <c:pt idx="17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1-476E-8AAD-A0801D4B8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753664"/>
        <c:axId val="1331756064"/>
      </c:lineChart>
      <c:dateAx>
        <c:axId val="1331753664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56064"/>
        <c:crosses val="autoZero"/>
        <c:auto val="1"/>
        <c:lblOffset val="100"/>
        <c:baseTimeUnit val="days"/>
      </c:dateAx>
      <c:valAx>
        <c:axId val="133175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5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Putania's Purgatory - Wishlists</a:t>
            </a:r>
          </a:p>
        </c:rich>
      </c:tx>
      <c:layout>
        <c:manualLayout>
          <c:xMode val="edge"/>
          <c:yMode val="edge"/>
          <c:x val="0.28093740157480313"/>
          <c:y val="2.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KPI'!$B$10:$S$10</c:f>
              <c:numCache>
                <c:formatCode>General</c:formatCode>
                <c:ptCount val="18"/>
                <c:pt idx="0">
                  <c:v>155</c:v>
                </c:pt>
                <c:pt idx="1">
                  <c:v>36</c:v>
                </c:pt>
                <c:pt idx="2">
                  <c:v>16</c:v>
                </c:pt>
                <c:pt idx="3">
                  <c:v>12</c:v>
                </c:pt>
                <c:pt idx="4">
                  <c:v>23</c:v>
                </c:pt>
                <c:pt idx="5">
                  <c:v>30</c:v>
                </c:pt>
                <c:pt idx="6">
                  <c:v>29</c:v>
                </c:pt>
                <c:pt idx="7">
                  <c:v>76</c:v>
                </c:pt>
                <c:pt idx="8">
                  <c:v>959</c:v>
                </c:pt>
                <c:pt idx="9">
                  <c:v>37</c:v>
                </c:pt>
                <c:pt idx="10">
                  <c:v>24</c:v>
                </c:pt>
                <c:pt idx="11">
                  <c:v>11</c:v>
                </c:pt>
                <c:pt idx="12">
                  <c:v>17</c:v>
                </c:pt>
                <c:pt idx="13">
                  <c:v>41</c:v>
                </c:pt>
                <c:pt idx="14">
                  <c:v>35</c:v>
                </c:pt>
                <c:pt idx="15">
                  <c:v>28</c:v>
                </c:pt>
                <c:pt idx="16">
                  <c:v>26</c:v>
                </c:pt>
                <c:pt idx="1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E-4859-9AC2-ED659FB1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64943"/>
        <c:axId val="102963023"/>
      </c:lineChart>
      <c:dateAx>
        <c:axId val="102964943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3023"/>
        <c:crosses val="autoZero"/>
        <c:auto val="1"/>
        <c:lblOffset val="100"/>
        <c:baseTimeUnit val="days"/>
      </c:dateAx>
      <c:valAx>
        <c:axId val="10296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Fleet Breakers - Wishlists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'Consolidated KPI'!$B$1:$S$1</c:f>
              <c:numCache>
                <c:formatCode>m/d</c:formatCode>
                <c:ptCount val="18"/>
                <c:pt idx="0">
                  <c:v>46026</c:v>
                </c:pt>
                <c:pt idx="1">
                  <c:v>46033</c:v>
                </c:pt>
                <c:pt idx="2">
                  <c:v>46040</c:v>
                </c:pt>
                <c:pt idx="3">
                  <c:v>46047</c:v>
                </c:pt>
                <c:pt idx="4">
                  <c:v>46054</c:v>
                </c:pt>
                <c:pt idx="5">
                  <c:v>46061</c:v>
                </c:pt>
                <c:pt idx="6">
                  <c:v>46068</c:v>
                </c:pt>
                <c:pt idx="7">
                  <c:v>46075</c:v>
                </c:pt>
                <c:pt idx="8">
                  <c:v>46082</c:v>
                </c:pt>
                <c:pt idx="9">
                  <c:v>46089</c:v>
                </c:pt>
                <c:pt idx="10">
                  <c:v>46096</c:v>
                </c:pt>
                <c:pt idx="11">
                  <c:v>46103</c:v>
                </c:pt>
                <c:pt idx="12">
                  <c:v>46110</c:v>
                </c:pt>
                <c:pt idx="13">
                  <c:v>46117</c:v>
                </c:pt>
                <c:pt idx="14">
                  <c:v>46124</c:v>
                </c:pt>
                <c:pt idx="15">
                  <c:v>46131</c:v>
                </c:pt>
                <c:pt idx="16">
                  <c:v>46138</c:v>
                </c:pt>
                <c:pt idx="17">
                  <c:v>46145</c:v>
                </c:pt>
              </c:numCache>
            </c:numRef>
          </c:cat>
          <c:val>
            <c:numRef>
              <c:f>'Consolidated KPI'!$B$14:$S$14</c:f>
              <c:numCache>
                <c:formatCode>General</c:formatCode>
                <c:ptCount val="18"/>
                <c:pt idx="0">
                  <c:v>49</c:v>
                </c:pt>
                <c:pt idx="1">
                  <c:v>76</c:v>
                </c:pt>
                <c:pt idx="2">
                  <c:v>138</c:v>
                </c:pt>
                <c:pt idx="3">
                  <c:v>33</c:v>
                </c:pt>
                <c:pt idx="4">
                  <c:v>-2</c:v>
                </c:pt>
                <c:pt idx="5">
                  <c:v>12</c:v>
                </c:pt>
                <c:pt idx="6">
                  <c:v>1</c:v>
                </c:pt>
                <c:pt idx="7">
                  <c:v>0</c:v>
                </c:pt>
                <c:pt idx="8">
                  <c:v>-14</c:v>
                </c:pt>
                <c:pt idx="9">
                  <c:v>5</c:v>
                </c:pt>
                <c:pt idx="10">
                  <c:v>1</c:v>
                </c:pt>
                <c:pt idx="11">
                  <c:v>-5</c:v>
                </c:pt>
                <c:pt idx="12">
                  <c:v>-2</c:v>
                </c:pt>
                <c:pt idx="13">
                  <c:v>8</c:v>
                </c:pt>
                <c:pt idx="14">
                  <c:v>8</c:v>
                </c:pt>
                <c:pt idx="15">
                  <c:v>-4</c:v>
                </c:pt>
                <c:pt idx="16">
                  <c:v>-2</c:v>
                </c:pt>
                <c:pt idx="1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F-4314-82A0-7E2F0F6A9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7887"/>
        <c:axId val="36717807"/>
      </c:lineChart>
      <c:dateAx>
        <c:axId val="36727887"/>
        <c:scaling>
          <c:orientation val="minMax"/>
        </c:scaling>
        <c:delete val="0"/>
        <c:axPos val="b"/>
        <c:numFmt formatCode="m/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7807"/>
        <c:crosses val="autoZero"/>
        <c:auto val="1"/>
        <c:lblOffset val="100"/>
        <c:baseTimeUnit val="days"/>
      </c:dateAx>
      <c:valAx>
        <c:axId val="3671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44</xdr:row>
      <xdr:rowOff>76200</xdr:rowOff>
    </xdr:from>
    <xdr:to>
      <xdr:col>4</xdr:col>
      <xdr:colOff>19050</xdr:colOff>
      <xdr:row>61</xdr:row>
      <xdr:rowOff>9525</xdr:rowOff>
    </xdr:to>
    <xdr:graphicFrame macro="">
      <xdr:nvGraphicFramePr>
        <xdr:cNvPr id="64" name="Taival_ImpVis">
          <a:extLst>
            <a:ext uri="{FF2B5EF4-FFF2-40B4-BE49-F238E27FC236}">
              <a16:creationId xmlns:a16="http://schemas.microsoft.com/office/drawing/2014/main" id="{97C18B9A-F271-00D9-0D6F-F2E4A3FC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200025</xdr:colOff>
      <xdr:row>44</xdr:row>
      <xdr:rowOff>63500</xdr:rowOff>
    </xdr:from>
    <xdr:to>
      <xdr:col>12</xdr:col>
      <xdr:colOff>22225</xdr:colOff>
      <xdr:row>61</xdr:row>
      <xdr:rowOff>0</xdr:rowOff>
    </xdr:to>
    <xdr:graphicFrame macro="">
      <xdr:nvGraphicFramePr>
        <xdr:cNvPr id="65" name="Colossus_ImpVis">
          <a:extLst>
            <a:ext uri="{FF2B5EF4-FFF2-40B4-BE49-F238E27FC236}">
              <a16:creationId xmlns:a16="http://schemas.microsoft.com/office/drawing/2014/main" id="{6575F128-5138-DAF6-2827-689A30A3127E}"/>
            </a:ext>
            <a:ext uri="{147F2762-F138-4A5C-976F-8EAC2B608ADB}">
              <a16:predDERef xmlns:a16="http://schemas.microsoft.com/office/drawing/2014/main" pred="{97C18B9A-F271-00D9-0D6F-F2E4A3FC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219075</xdr:colOff>
      <xdr:row>43</xdr:row>
      <xdr:rowOff>92074</xdr:rowOff>
    </xdr:from>
    <xdr:to>
      <xdr:col>20</xdr:col>
      <xdr:colOff>422275</xdr:colOff>
      <xdr:row>60</xdr:row>
      <xdr:rowOff>28574</xdr:rowOff>
    </xdr:to>
    <xdr:graphicFrame macro="">
      <xdr:nvGraphicFramePr>
        <xdr:cNvPr id="66" name="Putania_ImpVis">
          <a:extLst>
            <a:ext uri="{FF2B5EF4-FFF2-40B4-BE49-F238E27FC236}">
              <a16:creationId xmlns:a16="http://schemas.microsoft.com/office/drawing/2014/main" id="{5FDD58BB-DB68-2507-2A87-E8D75A60113C}"/>
            </a:ext>
            <a:ext uri="{147F2762-F138-4A5C-976F-8EAC2B608ADB}">
              <a16:predDERef xmlns:a16="http://schemas.microsoft.com/office/drawing/2014/main" pred="{6575F128-5138-DAF6-2827-689A30A31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66675</xdr:colOff>
      <xdr:row>43</xdr:row>
      <xdr:rowOff>92074</xdr:rowOff>
    </xdr:from>
    <xdr:to>
      <xdr:col>29</xdr:col>
      <xdr:colOff>269875</xdr:colOff>
      <xdr:row>60</xdr:row>
      <xdr:rowOff>28574</xdr:rowOff>
    </xdr:to>
    <xdr:graphicFrame macro="">
      <xdr:nvGraphicFramePr>
        <xdr:cNvPr id="67" name="Fleet_ImpVis">
          <a:extLst>
            <a:ext uri="{FF2B5EF4-FFF2-40B4-BE49-F238E27FC236}">
              <a16:creationId xmlns:a16="http://schemas.microsoft.com/office/drawing/2014/main" id="{96CE9AFA-8F9F-1BC8-4C0E-6A1935F29046}"/>
            </a:ext>
            <a:ext uri="{147F2762-F138-4A5C-976F-8EAC2B608ADB}">
              <a16:predDERef xmlns:a16="http://schemas.microsoft.com/office/drawing/2014/main" pred="{5FDD58BB-DB68-2507-2A87-E8D75A601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27</xdr:row>
      <xdr:rowOff>44450</xdr:rowOff>
    </xdr:from>
    <xdr:to>
      <xdr:col>3</xdr:col>
      <xdr:colOff>1270000</xdr:colOff>
      <xdr:row>43</xdr:row>
      <xdr:rowOff>171450</xdr:rowOff>
    </xdr:to>
    <xdr:graphicFrame macro="">
      <xdr:nvGraphicFramePr>
        <xdr:cNvPr id="73" name="Taival_Wishlists">
          <a:extLst>
            <a:ext uri="{FF2B5EF4-FFF2-40B4-BE49-F238E27FC236}">
              <a16:creationId xmlns:a16="http://schemas.microsoft.com/office/drawing/2014/main" id="{8FAC80BC-3413-D0B2-14BB-20EF1CB980E6}"/>
            </a:ext>
            <a:ext uri="{147F2762-F138-4A5C-976F-8EAC2B608ADB}">
              <a16:predDERef xmlns:a16="http://schemas.microsoft.com/office/drawing/2014/main" pred="{96CE9AFA-8F9F-1BC8-4C0E-6A1935F29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104775</xdr:colOff>
      <xdr:row>27</xdr:row>
      <xdr:rowOff>82550</xdr:rowOff>
    </xdr:from>
    <xdr:to>
      <xdr:col>11</xdr:col>
      <xdr:colOff>536575</xdr:colOff>
      <xdr:row>44</xdr:row>
      <xdr:rowOff>19050</xdr:rowOff>
    </xdr:to>
    <xdr:graphicFrame macro="">
      <xdr:nvGraphicFramePr>
        <xdr:cNvPr id="74" name="Colossus_Wishlists">
          <a:extLst>
            <a:ext uri="{FF2B5EF4-FFF2-40B4-BE49-F238E27FC236}">
              <a16:creationId xmlns:a16="http://schemas.microsoft.com/office/drawing/2014/main" id="{7C0D5CDC-19D1-1FC0-A688-390CAD12A57F}"/>
            </a:ext>
            <a:ext uri="{147F2762-F138-4A5C-976F-8EAC2B608ADB}">
              <a16:predDERef xmlns:a16="http://schemas.microsoft.com/office/drawing/2014/main" pred="{8FAC80BC-3413-D0B2-14BB-20EF1CB98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228600</xdr:colOff>
      <xdr:row>27</xdr:row>
      <xdr:rowOff>82550</xdr:rowOff>
    </xdr:from>
    <xdr:to>
      <xdr:col>20</xdr:col>
      <xdr:colOff>431800</xdr:colOff>
      <xdr:row>44</xdr:row>
      <xdr:rowOff>19050</xdr:rowOff>
    </xdr:to>
    <xdr:graphicFrame macro="">
      <xdr:nvGraphicFramePr>
        <xdr:cNvPr id="75" name="Putania_Wishlists">
          <a:extLst>
            <a:ext uri="{FF2B5EF4-FFF2-40B4-BE49-F238E27FC236}">
              <a16:creationId xmlns:a16="http://schemas.microsoft.com/office/drawing/2014/main" id="{021BD61B-F6A2-4B5E-B28F-C6414054591B}"/>
            </a:ext>
            <a:ext uri="{147F2762-F138-4A5C-976F-8EAC2B608ADB}">
              <a16:predDERef xmlns:a16="http://schemas.microsoft.com/office/drawing/2014/main" pred="{7C0D5CDC-19D1-1FC0-A688-390CAD12A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209550</xdr:colOff>
      <xdr:row>26</xdr:row>
      <xdr:rowOff>0</xdr:rowOff>
    </xdr:from>
    <xdr:to>
      <xdr:col>29</xdr:col>
      <xdr:colOff>412750</xdr:colOff>
      <xdr:row>42</xdr:row>
      <xdr:rowOff>66675</xdr:rowOff>
    </xdr:to>
    <xdr:graphicFrame macro="">
      <xdr:nvGraphicFramePr>
        <xdr:cNvPr id="76" name="Fleet_Wishlists">
          <a:extLst>
            <a:ext uri="{FF2B5EF4-FFF2-40B4-BE49-F238E27FC236}">
              <a16:creationId xmlns:a16="http://schemas.microsoft.com/office/drawing/2014/main" id="{70883B98-65AC-649A-8868-CC072CC66A65}"/>
            </a:ext>
            <a:ext uri="{147F2762-F138-4A5C-976F-8EAC2B608ADB}">
              <a16:predDERef xmlns:a16="http://schemas.microsoft.com/office/drawing/2014/main" pred="{021BD61B-F6A2-4B5E-B28F-C64140545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62689-CDB1-42C4-B525-B356F3763444}" name="Table1" displayName="Table1" ref="A2:P5" totalsRowShown="0" headerRowDxfId="285" dataDxfId="284">
  <autoFilter ref="A2:P5" xr:uid="{DC662689-CDB1-42C4-B525-B356F3763444}"/>
  <tableColumns count="16">
    <tableColumn id="2" xr3:uid="{D14CD00F-90AB-459F-A3A3-329305B9E86B}" name="Taival" dataDxfId="283"/>
    <tableColumn id="3" xr3:uid="{D338B592-F0A2-4E86-9FFA-F2EDCE0DD608}" name="1/4" dataDxfId="282"/>
    <tableColumn id="4" xr3:uid="{4F938A4C-CE04-4D17-822A-69BF10D40497}" name="1/11" dataDxfId="281"/>
    <tableColumn id="5" xr3:uid="{89AD34A1-49A7-438F-B05A-BF56EAB1C47E}" name="1/18" dataDxfId="280"/>
    <tableColumn id="6" xr3:uid="{2C6FF47B-E9DA-4C8E-9256-1A8126206D9C}" name="1/25" dataDxfId="279"/>
    <tableColumn id="7" xr3:uid="{D67F6C89-A9BF-40BA-9C5D-76372EAA7C2D}" name="2/1" dataDxfId="278"/>
    <tableColumn id="8" xr3:uid="{F22A0A92-0283-4726-A65B-AFF5F41063CE}" name="2/8" dataDxfId="277"/>
    <tableColumn id="9" xr3:uid="{DDE22DBB-DBE2-4168-AE48-167CB817DC9E}" name="2/15" dataDxfId="276"/>
    <tableColumn id="10" xr3:uid="{D12ED85F-EAB5-477E-A872-D9E59BD50138}" name="2/22" dataDxfId="275"/>
    <tableColumn id="11" xr3:uid="{E64AE808-0C94-4390-8A00-9EA42B7C47B4}" name="3/1" dataDxfId="274"/>
    <tableColumn id="12" xr3:uid="{8DF7A516-9CB3-44E4-84E9-00FC287E522A}" name="3/8" dataDxfId="273"/>
    <tableColumn id="13" xr3:uid="{70D221E6-AF92-4B2C-A3F5-1D77E290DADF}" name="3/15" dataDxfId="272"/>
    <tableColumn id="14" xr3:uid="{664BBD30-7855-4BCC-8F69-DAEACADAC7E7}" name="3/22" dataDxfId="271"/>
    <tableColumn id="15" xr3:uid="{B0B74071-3653-468C-B28F-74640640F321}" name="3/29" dataDxfId="270"/>
    <tableColumn id="20" xr3:uid="{1DEE88F3-508F-447A-A898-50FA6F42CCA7}" name="WoW%" dataDxfId="269">
      <calculatedColumnFormula array="1">IFERROR(_xlfn.LET(
        _xlpm.rng,B3:N3,
        _xlpm.lastCol,MAX(IF(ISNUMBER(_xlpm.rng)*(_xlpm.rng&lt;&gt;0),COLUMN(_xlpm.rng),0)),
        _xlpm.secondLastCol,MAX(IF((ISNUMBER(_xlpm.rng)*(_xlpm.rng&lt;&gt;0)*(COLUMN(_xlpm.rng)&lt;_xlpm.lastCol)),COLUMN(_xlpm.rng),0)),
        _xlpm.lastVal,INDEX(B3:N3,1,_xlpm.lastCol-1),
        _xlpm.secondLastVal,INDEX(B3:N3,1,_xlpm.secondLastCol-1),
        IF(OR(_xlpm.secondLastCol=0,_xlpm.lastCol=0),"-",(_xlpm.lastVal-_xlpm.secondLastVal)/ABS(_xlpm.secondLastVal))
    ),"-")</calculatedColumnFormula>
    </tableColumn>
    <tableColumn id="1" xr3:uid="{C8A044E0-4141-4440-AB62-BE41D36C8A40}" name="Total" dataDxfId="268">
      <calculatedColumnFormula>SUM(B3:N3)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0580D-7CE8-4208-97E3-F8780E5778D1}" name="Table2" displayName="Table2" ref="A6:P9" totalsRowShown="0" headerRowDxfId="267" dataDxfId="266">
  <autoFilter ref="A6:P9" xr:uid="{2900580D-7CE8-4208-97E3-F8780E5778D1}"/>
  <tableColumns count="16">
    <tableColumn id="2" xr3:uid="{D959D6A4-B081-4287-83E1-E05BDBEDB6F1}" name="Colossus - Eternal Blight" dataDxfId="265"/>
    <tableColumn id="3" xr3:uid="{8DF130ED-3A37-4C82-9941-88EBD638F4C5}" name="1/4" dataDxfId="264"/>
    <tableColumn id="4" xr3:uid="{ED871568-F73A-4E55-AA11-86BEDA71DBB6}" name="1/11" dataDxfId="263"/>
    <tableColumn id="5" xr3:uid="{44FE9270-3235-457A-8296-1CDA16E10B99}" name="1/18" dataDxfId="262"/>
    <tableColumn id="6" xr3:uid="{ED67A164-792B-49A9-AF78-40837BC8899C}" name="1/25" dataDxfId="261"/>
    <tableColumn id="7" xr3:uid="{356C89B1-5205-4BA8-896C-923060875052}" name="2/1" dataDxfId="260"/>
    <tableColumn id="8" xr3:uid="{00A73EEC-5FF5-4B8A-88EA-57DC7FB11E04}" name="2/8" dataDxfId="259"/>
    <tableColumn id="9" xr3:uid="{58DD7635-5921-45FA-B1B3-887F76F83E8A}" name="2/15" dataDxfId="258"/>
    <tableColumn id="10" xr3:uid="{C3A2D630-38CC-432C-B9D8-2EC969242562}" name="2/22" dataDxfId="257"/>
    <tableColumn id="11" xr3:uid="{AF090850-AAC5-406E-88E8-28249CB40446}" name="3/1" dataDxfId="256"/>
    <tableColumn id="12" xr3:uid="{39E37100-E259-4089-B3CF-A991A7BE3A21}" name="3/8" dataDxfId="255"/>
    <tableColumn id="13" xr3:uid="{15AA5691-AB8B-4A77-BF75-9F67285C24FB}" name="3/15" dataDxfId="254"/>
    <tableColumn id="14" xr3:uid="{BC57744D-729D-4995-B5DB-75FA32042843}" name="3/22" dataDxfId="253"/>
    <tableColumn id="15" xr3:uid="{3A4212B4-5DF8-4442-BBEF-C8D18B056DB0}" name="3/29" dataDxfId="252"/>
    <tableColumn id="20" xr3:uid="{5FF5D753-010A-43E2-87F4-82401BD7B954}" name="WoW%" dataDxfId="251">
      <calculatedColumnFormula array="1">IFERROR(_xlfn.LET(
        _xlpm.rng,B7:N7,
        _xlpm.lastCol,MAX(IF(ISNUMBER(_xlpm.rng)*(_xlpm.rng&lt;&gt;0),COLUMN(_xlpm.rng),0)),
        _xlpm.secondLastCol,MAX(IF((ISNUMBER(_xlpm.rng)*(_xlpm.rng&lt;&gt;0)*(COLUMN(_xlpm.rng)&lt;_xlpm.lastCol)),COLUMN(_xlpm.rng),0)),
        _xlpm.lastVal,INDEX(B7:N7,1,_xlpm.lastCol-1),
        _xlpm.secondLastVal,INDEX(B7:N7,1,_xlpm.secondLastCol-1),
        IF(OR(_xlpm.secondLastCol=0,_xlpm.lastCol=0),"-",(_xlpm.lastVal-_xlpm.secondLastVal)/ABS(_xlpm.secondLastVal))
    ),"-")</calculatedColumnFormula>
    </tableColumn>
    <tableColumn id="1" xr3:uid="{DB09B2E7-4C5F-46AF-B1B2-0539F12CC65D}" name="Total" dataDxfId="250">
      <calculatedColumnFormula>SUM(B7:N7)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99D81-EE9C-49D6-93AE-9408BE48C310}" name="Table3" displayName="Table3" ref="A10:P13" totalsRowShown="0" headerRowDxfId="249" dataDxfId="248">
  <autoFilter ref="A10:P13" xr:uid="{D5899D81-EE9C-49D6-93AE-9408BE48C310}"/>
  <tableColumns count="16">
    <tableColumn id="2" xr3:uid="{56476923-EF77-4B8E-A68C-98536A0C44A0}" name="Putania's Purgatory" dataDxfId="247"/>
    <tableColumn id="3" xr3:uid="{6A87B8E0-9C9F-4ABD-B2E7-FB83B8EFC15F}" name="1/4" dataDxfId="246"/>
    <tableColumn id="4" xr3:uid="{11205077-EEF1-4197-84DE-4373DB53845E}" name="1/11" dataDxfId="245"/>
    <tableColumn id="5" xr3:uid="{D2538BB9-4EB9-427B-92E1-DE7F1AE70E9D}" name="1/18" dataDxfId="244"/>
    <tableColumn id="6" xr3:uid="{6A7AA81F-5E20-489E-8465-E6845F5D7E82}" name="1/25" dataDxfId="243"/>
    <tableColumn id="7" xr3:uid="{9242883F-E492-441F-AF19-A25B391C3541}" name="2/1" dataDxfId="242"/>
    <tableColumn id="8" xr3:uid="{6374790C-16C5-40A4-8219-67D9A7FB4796}" name="2/8" dataDxfId="241"/>
    <tableColumn id="9" xr3:uid="{566E069D-D327-40E4-AC63-3C527FB2BB3A}" name="2/15" dataDxfId="240"/>
    <tableColumn id="10" xr3:uid="{B9F655FF-9058-4566-9A8E-105062564CA1}" name="2/22" dataDxfId="239"/>
    <tableColumn id="11" xr3:uid="{D4668584-A4FD-45F7-95B6-41595662DB86}" name="3/1" dataDxfId="238"/>
    <tableColumn id="12" xr3:uid="{440936AA-50E4-4BD3-96B6-D25123B925A8}" name="3/8" dataDxfId="237"/>
    <tableColumn id="13" xr3:uid="{7FBE3E48-76CA-48A3-9ADF-F7917550F309}" name="3/15" dataDxfId="236"/>
    <tableColumn id="14" xr3:uid="{1D25AF35-B14A-477F-89B5-B38E20C819E5}" name="3/22" dataDxfId="235"/>
    <tableColumn id="15" xr3:uid="{854F3C8D-D9C4-4707-A5F8-6AE16604FD04}" name="3/29" dataDxfId="234"/>
    <tableColumn id="20" xr3:uid="{18EB3F9F-71BD-444E-9564-44348D8B7B95}" name="WoW%" dataDxfId="233">
      <calculatedColumnFormula array="1">IFERROR(_xlfn.LET(
        _xlpm.rng,B11:N11,
        _xlpm.lastCol,MAX(IF(ISNUMBER(_xlpm.rng)*(_xlpm.rng&lt;&gt;0),COLUMN(_xlpm.rng),0)),
        _xlpm.secondLastCol,MAX(IF((ISNUMBER(_xlpm.rng)*(_xlpm.rng&lt;&gt;0)*(COLUMN(_xlpm.rng)&lt;_xlpm.lastCol)),COLUMN(_xlpm.rng),0)),
        _xlpm.lastVal,INDEX(B11:N11,1,_xlpm.lastCol-1),
        _xlpm.secondLastVal,INDEX(B11:N11,1,_xlpm.secondLastCol-1),
        IF(OR(_xlpm.secondLastCol=0,_xlpm.lastCol=0),"-",(_xlpm.lastVal-_xlpm.secondLastVal)/ABS(_xlpm.secondLastVal))
    ),"-")</calculatedColumnFormula>
    </tableColumn>
    <tableColumn id="1" xr3:uid="{3D7C7467-92A1-467C-BC61-4F7537F06FC1}" name="Total" dataDxfId="232">
      <calculatedColumnFormula>SUM(B11:N11)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701927-4D8D-4A84-BB3E-205BCE2B7154}" name="Table4" displayName="Table4" ref="A14:P17" totalsRowShown="0" headerRowDxfId="231" dataDxfId="230">
  <autoFilter ref="A14:P17" xr:uid="{04701927-4D8D-4A84-BB3E-205BCE2B7154}"/>
  <tableColumns count="16">
    <tableColumn id="2" xr3:uid="{CDF45746-D414-43F4-BBB7-DAB19F0F1E6D}" name="Fleet Breakers" dataDxfId="229"/>
    <tableColumn id="3" xr3:uid="{9BCA3A52-BDDB-4437-B18D-BCD1C7BD78C2}" name="1/4" dataDxfId="228"/>
    <tableColumn id="4" xr3:uid="{1AC8DF4D-A070-48FA-B212-32A5443103A5}" name="1/11" dataDxfId="227"/>
    <tableColumn id="5" xr3:uid="{4FD88CC0-1B0B-4194-8F6A-BC9E4F9A7367}" name="1/18" dataDxfId="226"/>
    <tableColumn id="6" xr3:uid="{8186EF9B-8F18-4C6E-A973-E0B8498E9AAE}" name="1/25" dataDxfId="225"/>
    <tableColumn id="7" xr3:uid="{0FFEC581-7377-4FA8-AAA3-F881284F138A}" name="2/1" dataDxfId="224"/>
    <tableColumn id="8" xr3:uid="{633F8F53-C54A-4935-B8DF-77E9837D5738}" name="2/8" dataDxfId="223"/>
    <tableColumn id="9" xr3:uid="{AAD0369A-77FA-4A52-ADF5-5F061B5E918E}" name="2/15" dataDxfId="222"/>
    <tableColumn id="10" xr3:uid="{FBBB99D6-1ADB-40F9-8247-EA81193AC57F}" name="2/22" dataDxfId="221"/>
    <tableColumn id="11" xr3:uid="{C8D55186-06AE-4E20-8B27-A641D2AE23A1}" name="3/1" dataDxfId="220"/>
    <tableColumn id="12" xr3:uid="{086FA0FA-DC34-4BB6-8EDF-78B3F6B0F06C}" name="3/8" dataDxfId="219"/>
    <tableColumn id="13" xr3:uid="{B13D98F1-E930-4B1F-93E1-BA89DA21E501}" name="3/15" dataDxfId="218"/>
    <tableColumn id="14" xr3:uid="{E1E21CCE-242E-40D0-86C3-E631F58C7C64}" name="3/22" dataDxfId="217"/>
    <tableColumn id="15" xr3:uid="{3D08DEED-8C49-4AA0-9E8E-5F65D7C5B7FF}" name="3/29" dataDxfId="216"/>
    <tableColumn id="20" xr3:uid="{B8290390-322D-4447-9B15-C65AF7D93E90}" name="WoW%" dataDxfId="215">
      <calculatedColumnFormula array="1">IFERROR(_xlfn.LET(
        _xlpm.rng,B15:N15,
        _xlpm.lastCol,MAX(IF(ISNUMBER(_xlpm.rng)*(_xlpm.rng&lt;&gt;0),COLUMN(_xlpm.rng),0)),
        _xlpm.secondLastCol,MAX(IF((ISNUMBER(_xlpm.rng)*(_xlpm.rng&lt;&gt;0)*(COLUMN(_xlpm.rng)&lt;_xlpm.lastCol)),COLUMN(_xlpm.rng),0)),
        _xlpm.lastVal,INDEX(B15:N15,1,_xlpm.lastCol-1),
        _xlpm.secondLastVal,INDEX(B15:N15,1,_xlpm.secondLastCol-1),
        IF(OR(_xlpm.secondLastCol=0,_xlpm.lastCol=0),"-",(_xlpm.lastVal-_xlpm.secondLastVal)/ABS(_xlpm.secondLastVal))
    ),"-")</calculatedColumnFormula>
    </tableColumn>
    <tableColumn id="1" xr3:uid="{2434E8E3-DB2F-4434-9EF0-058D540514C1}" name="Total" dataDxfId="214">
      <calculatedColumnFormula>SUM(B15:N15)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F10D704-43C1-40BC-A0CD-8DC253831794}" name="Table9" displayName="Table9" ref="A19:P22" totalsRowShown="0" headerRowDxfId="213" dataDxfId="212">
  <autoFilter ref="A19:P22" xr:uid="{8F10D704-43C1-40BC-A0CD-8DC253831794}"/>
  <tableColumns count="16">
    <tableColumn id="1" xr3:uid="{3BF9D4E5-7764-41A9-83A9-30738E3CBEDD}" name="Taival" dataDxfId="211"/>
    <tableColumn id="2" xr3:uid="{7BD40182-401E-420E-A39B-8C33C7CEAB85}" name="4/5" dataDxfId="210"/>
    <tableColumn id="3" xr3:uid="{65615674-75AE-46D1-BAC6-15FC55DAE959}" name="4/12" dataDxfId="209"/>
    <tableColumn id="4" xr3:uid="{89304A9E-8B01-433E-93E7-A8245CDEAD42}" name="4/19" dataDxfId="208"/>
    <tableColumn id="5" xr3:uid="{2F4D8ECA-3522-4A30-BC70-16B79B7D2A7C}" name="4/26" dataDxfId="207"/>
    <tableColumn id="6" xr3:uid="{C6B31E50-BAF3-4CDA-B1DD-C0A530449AEA}" name="5/3" dataDxfId="206"/>
    <tableColumn id="7" xr3:uid="{7A5718F2-5163-4901-BFA2-E773EC8E5385}" name="5/10" dataDxfId="205"/>
    <tableColumn id="8" xr3:uid="{95FC7275-2B65-4E04-8EE5-3AFE0AEFB082}" name="5/16" dataDxfId="204"/>
    <tableColumn id="9" xr3:uid="{64B12C28-BD68-4BA0-8689-6F5901A82D32}" name="5/23" dataDxfId="203"/>
    <tableColumn id="10" xr3:uid="{2214B0FD-FDBE-445D-8288-0F2ECA20858D}" name="5/30" dataDxfId="202"/>
    <tableColumn id="11" xr3:uid="{BEBC0B8C-6DC1-4B79-96E2-47A3CA2C4DB0}" name="6/6" dataDxfId="201"/>
    <tableColumn id="12" xr3:uid="{70A69680-E3F6-4749-A4B0-B3D534EE4FA4}" name="6/13" dataDxfId="200"/>
    <tableColumn id="13" xr3:uid="{BE69EC3D-849C-49C3-9A44-CE218C52886B}" name="6/20" dataDxfId="199"/>
    <tableColumn id="14" xr3:uid="{A91C3FE7-6E1D-4848-884A-9FEAD3478651}" name="6/27" dataDxfId="198"/>
    <tableColumn id="15" xr3:uid="{B74A937D-951D-4E01-BA04-9DC6C7B07613}" name="WoW%" dataDxfId="197">
      <calculatedColumnFormula array="1">IFERROR(_xlfn.LET(
        _xlpm.rng,B20:N20,
        _xlpm.lastCol,MAX(IF(ISNUMBER(_xlpm.rng)*(_xlpm.rng&lt;&gt;0),COLUMN(_xlpm.rng),0)),
        _xlpm.secondLastCol,MAX(IF((ISNUMBER(_xlpm.rng)*(_xlpm.rng&lt;&gt;0)*(COLUMN(_xlpm.rng)&lt;_xlpm.lastCol)),COLUMN(_xlpm.rng),0)),
        _xlpm.lastVal,INDEX(B20:N20,1,_xlpm.lastCol-1),
        _xlpm.secondLastVal,INDEX(B20:N20,1,_xlpm.secondLastCol-1),
        IF(OR(_xlpm.secondLastCol=0,_xlpm.lastCol=0),"-",(_xlpm.lastVal-_xlpm.secondLastVal)/ABS(_xlpm.secondLastVal))
    ),"-")</calculatedColumnFormula>
    </tableColumn>
    <tableColumn id="16" xr3:uid="{F47B5BA7-AB7A-4A29-B1BA-A04CA5189993}" name="Total" dataDxfId="196">
      <calculatedColumnFormula>SUM(B20:N20)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2A7D65-D280-4AF1-8D89-F220E7694442}" name="Table10" displayName="Table10" ref="A23:P26" totalsRowShown="0" headerRowDxfId="195" dataDxfId="194">
  <autoFilter ref="A23:P26" xr:uid="{CE2A7D65-D280-4AF1-8D89-F220E7694442}"/>
  <tableColumns count="16">
    <tableColumn id="1" xr3:uid="{B11653B6-6FEE-4F74-AA54-913494C5D4F2}" name="Colossus - Eternal Blight" dataDxfId="193"/>
    <tableColumn id="2" xr3:uid="{A78A875E-A108-4C11-9436-F6F60BC76F00}" name="4/5" dataDxfId="192"/>
    <tableColumn id="3" xr3:uid="{2BC440A8-F508-483B-83D0-FB0A9E186F19}" name="4/12" dataDxfId="191"/>
    <tableColumn id="4" xr3:uid="{7B3602D3-76DD-4FBC-ABE0-CD3A41E2379D}" name="4/19" dataDxfId="190"/>
    <tableColumn id="5" xr3:uid="{86A10414-9FA6-4432-82E3-AF4EAA5C0F93}" name="4/26" dataDxfId="189"/>
    <tableColumn id="6" xr3:uid="{30E3230D-B311-43EB-B3D3-76F31192FAAA}" name="5/3" dataDxfId="188"/>
    <tableColumn id="7" xr3:uid="{D3C9BD7C-122F-4C76-B44D-38A82DD14573}" name="5/10" dataDxfId="187"/>
    <tableColumn id="8" xr3:uid="{8D7045DD-F0F7-444A-A9F1-55F4FC718D06}" name="5/16" dataDxfId="186"/>
    <tableColumn id="9" xr3:uid="{1AA412DA-0A91-43D9-829F-E21EB57A77BB}" name="5/23" dataDxfId="185"/>
    <tableColumn id="10" xr3:uid="{3A6EE000-F5DA-4496-94BD-52BF1663CE97}" name="5/30" dataDxfId="184"/>
    <tableColumn id="11" xr3:uid="{DEEF9E35-881C-432F-B8F3-E13658C04679}" name="6/6" dataDxfId="183"/>
    <tableColumn id="12" xr3:uid="{AC3B9D3C-49AE-4F0A-B61A-99306D7E5E5B}" name="6/13" dataDxfId="182"/>
    <tableColumn id="13" xr3:uid="{EFD1B0DE-A5B9-4A97-AD4F-609251F34F68}" name="6/20" dataDxfId="181"/>
    <tableColumn id="14" xr3:uid="{4D6ED6B1-6D38-4144-93E9-ACE8E0A2E8FC}" name="6/27" dataDxfId="180"/>
    <tableColumn id="15" xr3:uid="{6FD1C3C2-38BF-4567-BB31-00E0B905DA10}" name="WoW%" dataDxfId="179">
      <calculatedColumnFormula array="1">IFERROR(_xlfn.LET(
        _xlpm.rng,B24:N24,
        _xlpm.lastCol,MAX(IF(ISNUMBER(_xlpm.rng)*(_xlpm.rng&lt;&gt;0),COLUMN(_xlpm.rng),0)),
        _xlpm.secondLastCol,MAX(IF((ISNUMBER(_xlpm.rng)*(_xlpm.rng&lt;&gt;0)*(COLUMN(_xlpm.rng)&lt;_xlpm.lastCol)),COLUMN(_xlpm.rng),0)),
        _xlpm.lastVal,INDEX(B24:N24,1,_xlpm.lastCol-1),
        _xlpm.secondLastVal,INDEX(B24:N24,1,_xlpm.secondLastCol-1),
        IF(OR(_xlpm.secondLastCol=0,_xlpm.lastCol=0),"-",(_xlpm.lastVal-_xlpm.secondLastVal)/ABS(_xlpm.secondLastVal))
    ),"-")</calculatedColumnFormula>
    </tableColumn>
    <tableColumn id="16" xr3:uid="{98A24636-79E5-4029-8D8C-9897805C476B}" name="Total" dataDxfId="178">
      <calculatedColumnFormula>SUM(B24:N24)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39FE53-3CAF-49D6-A9B0-4FCDAA083BC0}" name="Table11" displayName="Table11" ref="A27:P30" totalsRowShown="0" headerRowDxfId="177" dataDxfId="176">
  <autoFilter ref="A27:P30" xr:uid="{0939FE53-3CAF-49D6-A9B0-4FCDAA083BC0}"/>
  <tableColumns count="16">
    <tableColumn id="1" xr3:uid="{71921075-4DFB-4CDB-B02B-35671023EB57}" name="Putania's Purgatory" dataDxfId="175"/>
    <tableColumn id="2" xr3:uid="{DA9DAAEA-4259-4B32-B778-A2D756DF6763}" name="4/5" dataDxfId="174"/>
    <tableColumn id="3" xr3:uid="{49E8DDA5-E810-44D6-9B68-306A79DC2CEC}" name="4/12" dataDxfId="173"/>
    <tableColumn id="4" xr3:uid="{925D883F-D5D6-49DD-B177-FC0B5F897DC9}" name="4/19" dataDxfId="172"/>
    <tableColumn id="5" xr3:uid="{F9DBA013-9E91-4C55-8792-944A4C7A9792}" name="4/26" dataDxfId="171"/>
    <tableColumn id="6" xr3:uid="{8871A291-08DB-408D-90B5-5F5CC039B74C}" name="5/3" dataDxfId="170"/>
    <tableColumn id="7" xr3:uid="{BA5BB515-CEFF-45E0-BBCA-63BFD60B3CB6}" name="5/10" dataDxfId="169"/>
    <tableColumn id="8" xr3:uid="{B23FE293-DFDC-4BB5-9A08-3F2371AA551B}" name="5/16" dataDxfId="168"/>
    <tableColumn id="9" xr3:uid="{AA2D65F1-32BE-4AFB-8743-B1D108D95F1B}" name="5/23" dataDxfId="167"/>
    <tableColumn id="10" xr3:uid="{B1FA93F5-CFDC-44C8-B728-3BA1FEED4EE3}" name="5/30" dataDxfId="166"/>
    <tableColumn id="11" xr3:uid="{4A9F79F0-9D1E-4003-8445-2E81DE17A5CB}" name="6/6" dataDxfId="165"/>
    <tableColumn id="12" xr3:uid="{41AA9E0A-EE47-4CD3-995B-9B4103102052}" name="6/13" dataDxfId="164"/>
    <tableColumn id="13" xr3:uid="{6AE5C95C-275C-432E-AAEB-F013321CA81B}" name="6/20" dataDxfId="163"/>
    <tableColumn id="14" xr3:uid="{29790AFF-BC29-4CB8-AF60-262D257788A3}" name="6/27" dataDxfId="162"/>
    <tableColumn id="15" xr3:uid="{6DF8C8AE-FEDB-4FF3-8ECB-06EA0530E2A9}" name="WoW%" dataDxfId="161">
      <calculatedColumnFormula array="1">IFERROR(_xlfn.LET(
        _xlpm.rng,B28:N28,
        _xlpm.lastCol,MAX(IF(ISNUMBER(_xlpm.rng)*(_xlpm.rng&lt;&gt;0),COLUMN(_xlpm.rng),0)),
        _xlpm.secondLastCol,MAX(IF((ISNUMBER(_xlpm.rng)*(_xlpm.rng&lt;&gt;0)*(COLUMN(_xlpm.rng)&lt;_xlpm.lastCol)),COLUMN(_xlpm.rng),0)),
        _xlpm.lastVal,INDEX(B28:N28,1,_xlpm.lastCol-1),
        _xlpm.secondLastVal,INDEX(B28:N28,1,_xlpm.secondLastCol-1),
        IF(OR(_xlpm.secondLastCol=0,_xlpm.lastCol=0),"-",(_xlpm.lastVal-_xlpm.secondLastVal)/ABS(_xlpm.secondLastVal))
    ),"-")</calculatedColumnFormula>
    </tableColumn>
    <tableColumn id="16" xr3:uid="{CD9AAC1E-01D6-41F7-B355-3C181A358501}" name="Total" dataDxfId="160">
      <calculatedColumnFormula>SUM(B28:N28)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72F5E7-826A-45EA-864A-CDA13F3D43D7}" name="Table12" displayName="Table12" ref="A31:P34" totalsRowShown="0" headerRowDxfId="159" dataDxfId="158">
  <autoFilter ref="A31:P34" xr:uid="{BB72F5E7-826A-45EA-864A-CDA13F3D43D7}"/>
  <tableColumns count="16">
    <tableColumn id="1" xr3:uid="{9E9A3DD3-A013-4336-B216-006B881BF88C}" name="Fleet Breakers" dataDxfId="157"/>
    <tableColumn id="2" xr3:uid="{20ED783F-1F63-433C-8E23-6DD5DBF9B81F}" name="4/5" dataDxfId="156"/>
    <tableColumn id="3" xr3:uid="{74800203-B171-49EB-AA91-90F1D3E047F7}" name="4/12" dataDxfId="155"/>
    <tableColumn id="4" xr3:uid="{7F32DC54-0CC7-464B-B79C-390168973AA3}" name="4/19" dataDxfId="154"/>
    <tableColumn id="5" xr3:uid="{1C648532-C154-4F01-AD5B-7851CCD8256C}" name="4/26" dataDxfId="153"/>
    <tableColumn id="6" xr3:uid="{AB7A2116-3CA0-4985-905E-2D3A55CE726C}" name="5/3" dataDxfId="152"/>
    <tableColumn id="7" xr3:uid="{FDB23B5E-BBE7-4FE4-994E-96906446842F}" name="5/10" dataDxfId="151"/>
    <tableColumn id="8" xr3:uid="{8D2BD160-09FF-4E59-8A4A-A062315CA9C1}" name="5/17" dataDxfId="150"/>
    <tableColumn id="9" xr3:uid="{4BE23F33-DF4E-4DCA-B693-909AC4CC6171}" name="5/24" dataDxfId="149"/>
    <tableColumn id="10" xr3:uid="{565B46F3-3974-41B3-B2F1-AB46837D0A85}" name="5/31" dataDxfId="148"/>
    <tableColumn id="11" xr3:uid="{476FB569-64A4-4BAC-BDAF-42456B75FC30}" name="6/7" dataDxfId="147"/>
    <tableColumn id="12" xr3:uid="{06166810-8358-457F-BDEA-034E0921D300}" name="6/14" dataDxfId="146"/>
    <tableColumn id="13" xr3:uid="{1051CB15-5BA3-487A-9959-49BBEF266C3A}" name="6/21" dataDxfId="145"/>
    <tableColumn id="14" xr3:uid="{4C36E6EF-8695-4539-94E0-E008519B09DD}" name="6/28" dataDxfId="144"/>
    <tableColumn id="15" xr3:uid="{DBCAABB0-16EC-4158-8774-53D4D41296AC}" name="WoW%" dataDxfId="143">
      <calculatedColumnFormula array="1">IFERROR(_xlfn.LET(
        _xlpm.rng,B32:N32,
        _xlpm.lastCol,MAX(IF(ISNUMBER(_xlpm.rng)*(_xlpm.rng&lt;&gt;0),COLUMN(_xlpm.rng),0)),
        _xlpm.secondLastCol,MAX(IF((ISNUMBER(_xlpm.rng)*(_xlpm.rng&lt;&gt;0)*(COLUMN(_xlpm.rng)&lt;_xlpm.lastCol)),COLUMN(_xlpm.rng),0)),
        _xlpm.lastVal,INDEX(B32:N32,1,_xlpm.lastCol-1),
        _xlpm.secondLastVal,INDEX(B32:N32,1,_xlpm.secondLastCol-1),
        IF(OR(_xlpm.secondLastCol=0,_xlpm.lastCol=0),"-",(_xlpm.lastVal-_xlpm.secondLastVal)/ABS(_xlpm.secondLastVal))
    ),"-")</calculatedColumnFormula>
    </tableColumn>
    <tableColumn id="16" xr3:uid="{39F511B4-94D8-4B6E-815D-4028B6DD9C53}" name="Total" dataDxfId="142">
      <calculatedColumnFormula>SUM(B32:N32)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0046AB-5C2E-41F4-ACAA-B50FB1D1F97F}" name="Table14" displayName="Table14" ref="A36:P39" totalsRowShown="0" headerRowDxfId="141" dataDxfId="140">
  <autoFilter ref="A36:P39" xr:uid="{BF0046AB-5C2E-41F4-ACAA-B50FB1D1F97F}"/>
  <tableColumns count="16">
    <tableColumn id="1" xr3:uid="{30E2CE0C-F431-4FF2-8BB8-B76D12E8013B}" name="Taival" dataDxfId="139"/>
    <tableColumn id="2" xr3:uid="{A19C9990-B2A2-4A14-A079-A6F8CC5E8501}" name="7/4" dataDxfId="138"/>
    <tableColumn id="3" xr3:uid="{C73BE4CB-99CD-4E26-94E4-7C1C776D39CE}" name="7/11" dataDxfId="137"/>
    <tableColumn id="4" xr3:uid="{52512C1A-AC50-4114-83C2-4C688BA3B7D3}" name="7/18" dataDxfId="136"/>
    <tableColumn id="5" xr3:uid="{34EAB116-7DD0-4172-974D-D97690E81102}" name="7/25" dataDxfId="135"/>
    <tableColumn id="6" xr3:uid="{85075D55-97E8-4E6F-83E6-B3ABAACE61A9}" name="8/1" dataDxfId="134"/>
    <tableColumn id="7" xr3:uid="{14957E6F-ECFA-4363-BE64-F5B318625F44}" name="8/8" dataDxfId="133"/>
    <tableColumn id="8" xr3:uid="{7BB38851-E869-4240-915F-42EF3B05AE9E}" name="8/15" dataDxfId="132"/>
    <tableColumn id="9" xr3:uid="{A6851CEA-381F-4ADB-A973-A85C94B8A6CA}" name="8/22" dataDxfId="131"/>
    <tableColumn id="10" xr3:uid="{7F043EFD-015A-4E24-BE89-DF714790FC12}" name="8/29" dataDxfId="130"/>
    <tableColumn id="11" xr3:uid="{B2DF1CEF-4E99-44F0-ADAE-0AA22E66A5BE}" name="9/5" dataDxfId="129"/>
    <tableColumn id="12" xr3:uid="{69CDEB60-9636-49D3-ADCA-5E034B250563}" name="9/12" dataDxfId="128"/>
    <tableColumn id="13" xr3:uid="{6A092A0D-2C81-4A5A-866A-549C9C453F32}" name="9/19" dataDxfId="127"/>
    <tableColumn id="14" xr3:uid="{A828C053-A332-4318-BB2D-F11FC0AEBD09}" name="9/26" dataDxfId="126"/>
    <tableColumn id="15" xr3:uid="{67E77420-3885-4B0E-BB22-1A24A86BDAE0}" name="WoW%" dataDxfId="125">
      <calculatedColumnFormula array="1">IFERROR(_xlfn.LET(
        _xlpm.rng,B37:N37,
        _xlpm.lastCol,MAX(IF(ISNUMBER(_xlpm.rng)*(_xlpm.rng&lt;&gt;0),COLUMN(_xlpm.rng),0)),
        _xlpm.secondLastCol,MAX(IF((ISNUMBER(_xlpm.rng)*(_xlpm.rng&lt;&gt;0)*(COLUMN(_xlpm.rng)&lt;_xlpm.lastCol)),COLUMN(_xlpm.rng),0)),
        _xlpm.lastVal,INDEX(B37:N37,1,_xlpm.lastCol-1),
        _xlpm.secondLastVal,INDEX(B37:N37,1,_xlpm.secondLastCol-1),
        IF(OR(_xlpm.secondLastCol=0,_xlpm.lastCol=0),"-",(_xlpm.lastVal-_xlpm.secondLastVal)/ABS(_xlpm.secondLastVal))
    ),"-")</calculatedColumnFormula>
    </tableColumn>
    <tableColumn id="16" xr3:uid="{514EC082-D510-45AC-85FD-3DA32432E629}" name="Total" dataDxfId="124">
      <calculatedColumnFormula>SUM(B37:N37)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E3BC41D-54B0-4E1A-A6E1-8152AE9F914B}" name="Table15" displayName="Table15" ref="A40:P43" totalsRowShown="0" headerRowDxfId="123" dataDxfId="122">
  <autoFilter ref="A40:P43" xr:uid="{AE3BC41D-54B0-4E1A-A6E1-8152AE9F914B}"/>
  <tableColumns count="16">
    <tableColumn id="1" xr3:uid="{919D8BF2-6CE9-48C1-AAF8-FA295A48DF80}" name="Colossus - Eternal Blight" dataDxfId="121"/>
    <tableColumn id="2" xr3:uid="{3C457357-2F10-4D44-AE21-C84E088F4500}" name="7/4" dataDxfId="120"/>
    <tableColumn id="3" xr3:uid="{D4A5B6CA-A4CB-49BB-A74E-E1A190981FE9}" name="7/11" dataDxfId="119"/>
    <tableColumn id="4" xr3:uid="{C4031E02-ACB0-4B1E-8D0F-2C38C83C5BC7}" name="7/18" dataDxfId="118"/>
    <tableColumn id="5" xr3:uid="{97A23FDE-EFFC-4CBF-AE4E-F3853574AFB5}" name="7/25" dataDxfId="117"/>
    <tableColumn id="6" xr3:uid="{8A477449-AE0C-40A1-8D9C-BB2D62E4CB30}" name="8/1" dataDxfId="116"/>
    <tableColumn id="7" xr3:uid="{26644A0B-1506-472E-8F0C-ADCBBCCC3333}" name="8/8" dataDxfId="115"/>
    <tableColumn id="8" xr3:uid="{8987A608-F1C1-45EC-B669-6F0738803424}" name="8/15" dataDxfId="114"/>
    <tableColumn id="9" xr3:uid="{2B1614EF-19C2-4960-B45F-724848D6C8F6}" name="8/22" dataDxfId="113"/>
    <tableColumn id="10" xr3:uid="{7142F6F3-A297-4501-B666-A5344B49EAD9}" name="8/29" dataDxfId="112"/>
    <tableColumn id="11" xr3:uid="{4440A184-BEC1-4851-B227-06991A443218}" name="9/5" dataDxfId="111"/>
    <tableColumn id="12" xr3:uid="{B3B0445C-1F95-4FDB-9E9B-7A4F1DF21C52}" name="9/12" dataDxfId="110"/>
    <tableColumn id="13" xr3:uid="{D5DE9BAD-693C-41C6-AFC2-567DA06C8FDC}" name="9/19" dataDxfId="109"/>
    <tableColumn id="14" xr3:uid="{65C1CC20-4692-4AEE-84FD-40F44A74A364}" name="9/26" dataDxfId="108"/>
    <tableColumn id="15" xr3:uid="{E58A1972-C1D4-4A6D-A967-712D587FC4EC}" name="WoW%" dataDxfId="107">
      <calculatedColumnFormula array="1">IFERROR(_xlfn.LET(
        _xlpm.rng,B41:N41,
        _xlpm.lastCol,MAX(IF(ISNUMBER(_xlpm.rng)*(_xlpm.rng&lt;&gt;0),COLUMN(_xlpm.rng),0)),
        _xlpm.secondLastCol,MAX(IF((ISNUMBER(_xlpm.rng)*(_xlpm.rng&lt;&gt;0)*(COLUMN(_xlpm.rng)&lt;_xlpm.lastCol)),COLUMN(_xlpm.rng),0)),
        _xlpm.lastVal,INDEX(B41:N41,1,_xlpm.lastCol-1),
        _xlpm.secondLastVal,INDEX(B41:N41,1,_xlpm.secondLastCol-1),
        IF(OR(_xlpm.secondLastCol=0,_xlpm.lastCol=0),"-",(_xlpm.lastVal-_xlpm.secondLastVal)/ABS(_xlpm.secondLastVal))
    ),"-")</calculatedColumnFormula>
    </tableColumn>
    <tableColumn id="16" xr3:uid="{18642DBB-061E-4AB2-BFC6-A0307751A1D0}" name="Total" dataDxfId="106">
      <calculatedColumnFormula>SUM(B41:N41)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E90BFE2-7DF0-4570-8949-440B4B4BE189}" name="Table16" displayName="Table16" ref="A44:P47" totalsRowShown="0" headerRowDxfId="105" dataDxfId="104">
  <autoFilter ref="A44:P47" xr:uid="{DE90BFE2-7DF0-4570-8949-440B4B4BE189}"/>
  <tableColumns count="16">
    <tableColumn id="1" xr3:uid="{711F56D9-8066-4C69-AA97-ABCF9F76E42A}" name="Putania's Purgatory" dataDxfId="103"/>
    <tableColumn id="2" xr3:uid="{EEB51B0F-4DD8-417C-82A3-3891D7827C63}" name="7/4" dataDxfId="102"/>
    <tableColumn id="3" xr3:uid="{2D787C33-585F-4F35-8A30-5EAB2B02F5F6}" name="7/11" dataDxfId="101"/>
    <tableColumn id="4" xr3:uid="{69B726B1-80CD-4ECB-B861-A469AC98CC13}" name="7/18" dataDxfId="100"/>
    <tableColumn id="5" xr3:uid="{57944C44-D3CA-41AC-B0C8-073D4A39D72E}" name="7/25" dataDxfId="99"/>
    <tableColumn id="6" xr3:uid="{F181B8B4-E334-4B03-8464-9C19F70A4621}" name="8/1" dataDxfId="98"/>
    <tableColumn id="7" xr3:uid="{D6912F07-4457-48D4-AF81-8871EC58E592}" name="8/8" dataDxfId="97"/>
    <tableColumn id="8" xr3:uid="{477DA6B0-CE58-4EE1-A4C5-1E6D134BC673}" name="8/15" dataDxfId="96"/>
    <tableColumn id="9" xr3:uid="{BD550B7A-AF75-4CD0-804A-2F4851833EAD}" name="8/22" dataDxfId="95"/>
    <tableColumn id="10" xr3:uid="{B8577E97-630B-4AA3-87EC-7181A57B026B}" name="8/29" dataDxfId="94"/>
    <tableColumn id="11" xr3:uid="{FF652297-9AEF-4F9E-9403-B4C8CBDBA3EE}" name="9/5" dataDxfId="93"/>
    <tableColumn id="12" xr3:uid="{FE570A77-103A-4342-BECE-9EFDA82A2A3E}" name="9/12" dataDxfId="92"/>
    <tableColumn id="13" xr3:uid="{84D14665-75FC-4C8F-9F34-DA9971EABA05}" name="9/19" dataDxfId="91"/>
    <tableColumn id="14" xr3:uid="{74E68BFC-146F-455B-9FDE-B40FD882C1CF}" name="9/26" dataDxfId="90"/>
    <tableColumn id="15" xr3:uid="{D40D3753-954C-4CB9-A0BA-ADB31FC91848}" name="WoW%" dataDxfId="89">
      <calculatedColumnFormula array="1">IFERROR(_xlfn.LET(
        _xlpm.rng,B45:N45,
        _xlpm.lastCol,MAX(IF(ISNUMBER(_xlpm.rng)*(_xlpm.rng&lt;&gt;0),COLUMN(_xlpm.rng),0)),
        _xlpm.secondLastCol,MAX(IF((ISNUMBER(_xlpm.rng)*(_xlpm.rng&lt;&gt;0)*(COLUMN(_xlpm.rng)&lt;_xlpm.lastCol)),COLUMN(_xlpm.rng),0)),
        _xlpm.lastVal,INDEX(B45:N45,1,_xlpm.lastCol-1),
        _xlpm.secondLastVal,INDEX(B45:N45,1,_xlpm.secondLastCol-1),
        IF(OR(_xlpm.secondLastCol=0,_xlpm.lastCol=0),"-",(_xlpm.lastVal-_xlpm.secondLastVal)/ABS(_xlpm.secondLastVal))
    ),"-")</calculatedColumnFormula>
    </tableColumn>
    <tableColumn id="16" xr3:uid="{98418AC6-EEB7-4E13-83BC-8260568AF9F9}" name="Total" dataDxfId="88">
      <calculatedColumnFormula>SUM(B45:N45)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F63FDF1-A0C6-4863-8E9B-F82ACD780E52}" name="Table17" displayName="Table17" ref="A48:P51" totalsRowShown="0" headerRowDxfId="87" dataDxfId="86">
  <autoFilter ref="A48:P51" xr:uid="{DF63FDF1-A0C6-4863-8E9B-F82ACD780E52}"/>
  <tableColumns count="16">
    <tableColumn id="1" xr3:uid="{04AF2D2E-1A1E-4DCA-A91F-FD05965CC1A4}" name="Fleet Breakers" dataDxfId="85"/>
    <tableColumn id="2" xr3:uid="{9C9F1234-B85E-4F6A-B132-E2EDF7FD8DEA}" name="7/4" dataDxfId="84"/>
    <tableColumn id="3" xr3:uid="{BE3DF22A-4B10-46A1-99CC-AFAB162D2AA5}" name="7/11" dataDxfId="83"/>
    <tableColumn id="4" xr3:uid="{91AC3BBB-CA89-4CAD-A4A1-8D5887B80F9C}" name="7/18" dataDxfId="82"/>
    <tableColumn id="5" xr3:uid="{138AD66F-A384-407D-BD9B-A62028C7D71B}" name="7/25" dataDxfId="81"/>
    <tableColumn id="6" xr3:uid="{66F95F0E-8755-44A0-8495-AB1D802CD31B}" name="8/1" dataDxfId="80"/>
    <tableColumn id="7" xr3:uid="{7127873F-998D-4A78-B9C3-10AD0CC0DD34}" name="8/8" dataDxfId="79"/>
    <tableColumn id="8" xr3:uid="{1BEEF1DA-0972-4214-B6DE-E212EA8014B6}" name="8/15" dataDxfId="78"/>
    <tableColumn id="9" xr3:uid="{4D2180D7-F304-4650-92B9-EC55105DCE74}" name="8/22" dataDxfId="77"/>
    <tableColumn id="10" xr3:uid="{D6D87E70-DD7D-42AE-8D1A-C3AD9177DFE0}" name="8/29" dataDxfId="76"/>
    <tableColumn id="11" xr3:uid="{8D138606-524D-47AC-851E-5475D73F3B07}" name="9/5" dataDxfId="75"/>
    <tableColumn id="12" xr3:uid="{8FB1A141-5F8C-48B0-8691-1900FB460BBD}" name="9/12" dataDxfId="74"/>
    <tableColumn id="13" xr3:uid="{5440A71B-4754-454F-8FA2-407BE8FEA1B1}" name="9/19" dataDxfId="73"/>
    <tableColumn id="14" xr3:uid="{342E68AF-44F8-4D57-BFF4-680256CF15B9}" name="9/26" dataDxfId="72"/>
    <tableColumn id="15" xr3:uid="{21B1A680-8CFD-498B-8A49-5707B791E980}" name="WoW%" dataDxfId="71">
      <calculatedColumnFormula array="1">IFERROR(_xlfn.LET(
        _xlpm.rng,B49:N49,
        _xlpm.lastCol,MAX(IF(ISNUMBER(_xlpm.rng)*(_xlpm.rng&lt;&gt;0),COLUMN(_xlpm.rng),0)),
        _xlpm.secondLastCol,MAX(IF((ISNUMBER(_xlpm.rng)*(_xlpm.rng&lt;&gt;0)*(COLUMN(_xlpm.rng)&lt;_xlpm.lastCol)),COLUMN(_xlpm.rng),0)),
        _xlpm.lastVal,INDEX(B49:N49,1,_xlpm.lastCol-1),
        _xlpm.secondLastVal,INDEX(B49:N49,1,_xlpm.secondLastCol-1),
        IF(OR(_xlpm.secondLastCol=0,_xlpm.lastCol=0),"-",(_xlpm.lastVal-_xlpm.secondLastVal)/ABS(_xlpm.secondLastVal))
    ),"-")</calculatedColumnFormula>
    </tableColumn>
    <tableColumn id="16" xr3:uid="{0219163C-557E-4154-9F5D-603436B550E6}" name="Total" dataDxfId="70">
      <calculatedColumnFormula>SUM(B49:N49)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4065571-6226-45A0-81C5-0D19014EC20E}" name="Table18" displayName="Table18" ref="A53:P56" totalsRowShown="0" headerRowDxfId="69" dataDxfId="68">
  <autoFilter ref="A53:P56" xr:uid="{D4065571-6226-45A0-81C5-0D19014EC20E}"/>
  <tableColumns count="16">
    <tableColumn id="1" xr3:uid="{BD1C379A-A403-45C2-895F-D49E3B5B8640}" name="Taival" dataDxfId="67"/>
    <tableColumn id="2" xr3:uid="{3BC071D7-0ADD-4FD9-B08D-DDFCF141CB38}" name="10/3" dataDxfId="66"/>
    <tableColumn id="3" xr3:uid="{B99E46E8-D736-427E-A859-71D7C912A8B4}" name="10/10" dataDxfId="65"/>
    <tableColumn id="4" xr3:uid="{695BCD16-7E18-4D15-930B-5412A44983B6}" name="10/17" dataDxfId="64"/>
    <tableColumn id="5" xr3:uid="{8486FA06-8B5D-4880-BE86-EBAE5235E73A}" name="10/24" dataDxfId="63"/>
    <tableColumn id="6" xr3:uid="{22D0C372-0296-4719-9255-59CF1AF86F89}" name="10/31"/>
    <tableColumn id="7" xr3:uid="{F7E8D4D7-0798-4643-930E-E3DCF529909E}" name="11/7" dataDxfId="62"/>
    <tableColumn id="8" xr3:uid="{A591E882-F330-4711-9A38-8A851E2693D1}" name="11/14" dataDxfId="61"/>
    <tableColumn id="9" xr3:uid="{0A52BB14-7A61-47D2-AC81-ADE0E93A6F42}" name="11/21" dataDxfId="60"/>
    <tableColumn id="10" xr3:uid="{BE0A4F1E-CF13-4EEF-BC1F-41FA1A299495}" name="11/28"/>
    <tableColumn id="11" xr3:uid="{46BA7152-D468-4FFC-BFCB-0D03449D2B4A}" name="12/5" dataDxfId="59"/>
    <tableColumn id="12" xr3:uid="{A175EF04-B075-4497-A639-F80DD69999AE}" name="12/12" dataDxfId="58"/>
    <tableColumn id="13" xr3:uid="{1279D81C-ED31-4C20-8198-666022734517}" name="12/19" dataDxfId="57"/>
    <tableColumn id="14" xr3:uid="{EED422BA-D242-452B-8005-3CC33F6F9B05}" name="12/26" dataDxfId="56"/>
    <tableColumn id="15" xr3:uid="{08118345-B027-4632-AEDB-2464A16273AA}" name="WoW%" dataDxfId="55">
      <calculatedColumnFormula array="1">IFERROR(_xlfn.LET(
        _xlpm.rng,B54:N54,
        _xlpm.lastCol,MAX(IF(ISNUMBER(_xlpm.rng)*(_xlpm.rng&lt;&gt;0),COLUMN(_xlpm.rng),0)),
        _xlpm.secondLastCol,MAX(IF((ISNUMBER(_xlpm.rng)*(_xlpm.rng&lt;&gt;0)*(COLUMN(_xlpm.rng)&lt;_xlpm.lastCol)),COLUMN(_xlpm.rng),0)),
        _xlpm.lastVal,INDEX(B54:N54,1,_xlpm.lastCol-1),
        _xlpm.secondLastVal,INDEX(B54:N54,1,_xlpm.secondLastCol-1),
        IF(OR(_xlpm.secondLastCol=0,_xlpm.lastCol=0),"-",(_xlpm.lastVal-_xlpm.secondLastVal)/ABS(_xlpm.secondLastVal))
    ),"-")</calculatedColumnFormula>
    </tableColumn>
    <tableColumn id="16" xr3:uid="{3C322933-9A68-46D0-846A-0C6027776A5E}" name="Total" dataDxfId="54">
      <calculatedColumnFormula>SUM(B54:N54)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2DB8AA5-02B7-4F5A-9BB2-38107691C8CD}" name="Table19" displayName="Table19" ref="A57:P60" totalsRowShown="0" headerRowDxfId="53" dataDxfId="52">
  <autoFilter ref="A57:P60" xr:uid="{02DB8AA5-02B7-4F5A-9BB2-38107691C8CD}"/>
  <tableColumns count="16">
    <tableColumn id="1" xr3:uid="{9ADC71FC-5173-4CA4-8FF1-8F5EEE265E68}" name="Colossus - Eternal Blight" dataDxfId="51"/>
    <tableColumn id="2" xr3:uid="{0EBC1784-C31E-4E13-9578-377C530E6124}" name="10/3" dataDxfId="50"/>
    <tableColumn id="3" xr3:uid="{967D8946-9492-445C-8607-E9F7B813E5A4}" name="10/10" dataDxfId="49"/>
    <tableColumn id="4" xr3:uid="{4ACADF79-8E36-4A7E-864F-B9546961F5EE}" name="10/17" dataDxfId="48"/>
    <tableColumn id="5" xr3:uid="{FE221EB4-570B-4358-8802-F175DC2E64FF}" name="10/24" dataDxfId="47"/>
    <tableColumn id="6" xr3:uid="{AE883B17-5137-42E0-BCFA-808673F868F4}" name="10/31" dataDxfId="46"/>
    <tableColumn id="7" xr3:uid="{733DC623-E56D-449D-9433-AA65E51590EF}" name="11/7" dataDxfId="45"/>
    <tableColumn id="8" xr3:uid="{E902EF3F-EC8F-4B18-BA96-83CE8BA6D4FC}" name="11/14" dataDxfId="44"/>
    <tableColumn id="9" xr3:uid="{120BC6DE-609D-4A23-9465-FE17C3392CD9}" name="11/21" dataDxfId="43"/>
    <tableColumn id="10" xr3:uid="{B010CB69-F08E-4AD1-8D81-1D53C0A0E94F}" name="11/28" dataDxfId="42"/>
    <tableColumn id="11" xr3:uid="{43D5CAF2-971D-4974-871B-57F6232AC97A}" name="12/5" dataDxfId="41"/>
    <tableColumn id="12" xr3:uid="{5A68F9BC-F29D-42FB-ACD1-383CA6909CFD}" name="12/12" dataDxfId="40"/>
    <tableColumn id="13" xr3:uid="{5CDB2BC3-63B7-4CF3-BEC9-853ADA6155A2}" name="12/19" dataDxfId="39"/>
    <tableColumn id="14" xr3:uid="{3DC93F26-5483-427B-BCFC-06224269EA6A}" name="12/26" dataDxfId="38"/>
    <tableColumn id="15" xr3:uid="{9910FF12-7C82-4E8E-9E2A-2352E04A521E}" name="WoW%" dataDxfId="37">
      <calculatedColumnFormula array="1">IFERROR(_xlfn.LET(
        _xlpm.rng,B58:N58,
        _xlpm.lastCol,MAX(IF(ISNUMBER(_xlpm.rng)*(_xlpm.rng&lt;&gt;0),COLUMN(_xlpm.rng),0)),
        _xlpm.secondLastCol,MAX(IF((ISNUMBER(_xlpm.rng)*(_xlpm.rng&lt;&gt;0)*(COLUMN(_xlpm.rng)&lt;_xlpm.lastCol)),COLUMN(_xlpm.rng),0)),
        _xlpm.lastVal,INDEX(B58:N58,1,_xlpm.lastCol-1),
        _xlpm.secondLastVal,INDEX(B58:N58,1,_xlpm.secondLastCol-1),
        IF(OR(_xlpm.secondLastCol=0,_xlpm.lastCol=0),"-",(_xlpm.lastVal-_xlpm.secondLastVal)/ABS(_xlpm.secondLastVal))
    ),"-")</calculatedColumnFormula>
    </tableColumn>
    <tableColumn id="16" xr3:uid="{3B7987C9-037E-4B81-857E-B5F82D4EA75B}" name="Total" dataDxfId="36">
      <calculatedColumnFormula>SUM(B58:N58)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0AF067-DC64-4E70-B2DB-486723C96188}" name="Table20" displayName="Table20" ref="A61:P64" totalsRowShown="0" headerRowDxfId="35" dataDxfId="34">
  <autoFilter ref="A61:P64" xr:uid="{4E0AF067-DC64-4E70-B2DB-486723C96188}"/>
  <tableColumns count="16">
    <tableColumn id="1" xr3:uid="{DF9BCFAB-1E63-4745-A205-046DCB597AD0}" name="Putania's Purgatory" dataDxfId="33"/>
    <tableColumn id="2" xr3:uid="{841420E7-6978-4981-B0BD-67A410C3C8D4}" name="10/3" dataDxfId="32"/>
    <tableColumn id="3" xr3:uid="{937941F4-72D3-4081-9D74-B88D164A0865}" name="10/10" dataDxfId="31"/>
    <tableColumn id="4" xr3:uid="{0BD7F34D-2C87-4646-93BC-36CE5454E443}" name="10/17" dataDxfId="30"/>
    <tableColumn id="5" xr3:uid="{7465BE95-CF2E-44A8-B273-279C8C4D5947}" name="10/24" dataDxfId="29"/>
    <tableColumn id="6" xr3:uid="{A581B28C-0B20-49C4-A0EA-2BF5A99D6C63}" name="10/31" dataDxfId="28"/>
    <tableColumn id="7" xr3:uid="{C9A0FE08-625D-48DB-9157-37A7CA412154}" name="11/7" dataDxfId="27"/>
    <tableColumn id="8" xr3:uid="{683201F7-A7A7-4F9B-9981-E247739CC01D}" name="11/14" dataDxfId="26"/>
    <tableColumn id="9" xr3:uid="{1ED73B48-D5B1-4C8E-9FEB-ADA692978793}" name="11/21" dataDxfId="25"/>
    <tableColumn id="10" xr3:uid="{A466A9B1-B628-4219-96A7-7447DA8B84F0}" name="11/28" dataDxfId="24"/>
    <tableColumn id="11" xr3:uid="{6F1B3D2B-429F-45AB-B531-025570BDA6D2}" name="12/5" dataDxfId="23"/>
    <tableColumn id="12" xr3:uid="{E86A7C1F-56DE-4561-A6AF-A1F190E76D08}" name="12/12" dataDxfId="22"/>
    <tableColumn id="13" xr3:uid="{1CFB9C67-6A0E-4502-8832-9B97AEA65278}" name="12/19" dataDxfId="21"/>
    <tableColumn id="14" xr3:uid="{CD2D7877-23E3-4194-9974-943975D68DF9}" name="12/26" dataDxfId="20"/>
    <tableColumn id="15" xr3:uid="{64C2A62A-E517-4E60-B518-0073C9AD7874}" name="WoW%" dataDxfId="19">
      <calculatedColumnFormula array="1">IFERROR(_xlfn.LET(
        _xlpm.rng,B62:N62,
        _xlpm.lastCol,MAX(IF(ISNUMBER(_xlpm.rng)*(_xlpm.rng&lt;&gt;0),COLUMN(_xlpm.rng),0)),
        _xlpm.secondLastCol,MAX(IF((ISNUMBER(_xlpm.rng)*(_xlpm.rng&lt;&gt;0)*(COLUMN(_xlpm.rng)&lt;_xlpm.lastCol)),COLUMN(_xlpm.rng),0)),
        _xlpm.lastVal,INDEX(B62:N62,1,_xlpm.lastCol-1),
        _xlpm.secondLastVal,INDEX(B62:N62,1,_xlpm.secondLastCol-1),
        IF(OR(_xlpm.secondLastCol=0,_xlpm.lastCol=0),"-",(_xlpm.lastVal-_xlpm.secondLastVal)/ABS(_xlpm.secondLastVal))
    ),"-")</calculatedColumnFormula>
    </tableColumn>
    <tableColumn id="16" xr3:uid="{249A2F51-6839-438B-BEC1-DF9DAF868AA5}" name="Total" dataDxfId="18">
      <calculatedColumnFormula>SUM(B62:N62)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D4230CB-BB78-4C33-912C-C5FFA22A2ABD}" name="Table21" displayName="Table21" ref="A65:P68" totalsRowShown="0" headerRowDxfId="17" dataDxfId="16">
  <autoFilter ref="A65:P68" xr:uid="{BD4230CB-BB78-4C33-912C-C5FFA22A2ABD}"/>
  <tableColumns count="16">
    <tableColumn id="1" xr3:uid="{5C2226F2-F8ED-4D4A-807D-DB89FF9913B4}" name="Fleet Breakers" dataDxfId="15"/>
    <tableColumn id="2" xr3:uid="{430BA644-972C-4AEE-AAAB-D91FF417FF92}" name="10/3" dataDxfId="14"/>
    <tableColumn id="3" xr3:uid="{C896287D-4466-4A5B-99A3-F5E16C99DEB2}" name="10/10" dataDxfId="13"/>
    <tableColumn id="4" xr3:uid="{78CD1516-B950-4049-B5C5-F084DF893062}" name="10/17" dataDxfId="12"/>
    <tableColumn id="5" xr3:uid="{CBE19892-7B99-47C1-A62C-AC5621C03603}" name="10/24" dataDxfId="11"/>
    <tableColumn id="6" xr3:uid="{2B2C7136-EE0B-4041-A2A8-78A5A476676F}" name="10/31" dataDxfId="10"/>
    <tableColumn id="7" xr3:uid="{E6B70C6D-F729-4A6A-B8EC-A5FC1DE4F653}" name="11/7" dataDxfId="9"/>
    <tableColumn id="8" xr3:uid="{C75A465A-133B-4DE6-90F8-FD50BA3CA831}" name="11/14" dataDxfId="8"/>
    <tableColumn id="9" xr3:uid="{47C2A479-E41C-4D4C-8F36-59EBF8055FCD}" name="11/21" dataDxfId="7"/>
    <tableColumn id="10" xr3:uid="{305CF9D5-4C14-4EBC-9356-EB1FB0555F57}" name="11/28" dataDxfId="6"/>
    <tableColumn id="11" xr3:uid="{99ED82F9-DF95-4489-AED8-5E6086556300}" name="12/5" dataDxfId="5"/>
    <tableColumn id="12" xr3:uid="{2A9C8E0A-436E-451F-9696-FF3965BD9940}" name="12/12" dataDxfId="4"/>
    <tableColumn id="13" xr3:uid="{2F05140C-3C80-4B19-8661-E23342B7AF61}" name="12/19" dataDxfId="3"/>
    <tableColumn id="14" xr3:uid="{1298F28B-E7A2-4246-8205-DC77FCD8E7AB}" name="12/26" dataDxfId="2"/>
    <tableColumn id="15" xr3:uid="{97A6F8C4-2691-4E35-8D75-4041420282BA}" name="WoW%" dataDxfId="1">
      <calculatedColumnFormula array="1">IFERROR(_xlfn.LET(
        _xlpm.rng,B66:N66,
        _xlpm.lastCol,MAX(IF(ISNUMBER(_xlpm.rng)*(_xlpm.rng&lt;&gt;0),COLUMN(_xlpm.rng),0)),
        _xlpm.secondLastCol,MAX(IF((ISNUMBER(_xlpm.rng)*(_xlpm.rng&lt;&gt;0)*(COLUMN(_xlpm.rng)&lt;_xlpm.lastCol)),COLUMN(_xlpm.rng),0)),
        _xlpm.lastVal,INDEX(B66:N66,1,_xlpm.lastCol-1),
        _xlpm.secondLastVal,INDEX(B66:N66,1,_xlpm.secondLastCol-1),
        IF(OR(_xlpm.secondLastCol=0,_xlpm.lastCol=0),"-",(_xlpm.lastVal-_xlpm.secondLastVal)/ABS(_xlpm.secondLastVal))
    ),"-")</calculatedColumnFormula>
    </tableColumn>
    <tableColumn id="16" xr3:uid="{B2F9100F-089E-4E5E-A951-08BA9EE3DE04}" name="Total" dataDxfId="0">
      <calculatedColumnFormula>SUM(B66:N66)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B4A30-D266-4155-A682-83C2B76A1AC8}">
  <dimension ref="A1:BA26"/>
  <sheetViews>
    <sheetView tabSelected="1" workbookViewId="0">
      <pane xSplit="1" topLeftCell="F1" activePane="topRight" state="frozen"/>
      <selection pane="topRight" activeCell="J16" sqref="J16"/>
    </sheetView>
  </sheetViews>
  <sheetFormatPr defaultRowHeight="15"/>
  <cols>
    <col min="1" max="1" width="34.5703125" bestFit="1" customWidth="1"/>
    <col min="2" max="2" width="7.28515625" bestFit="1" customWidth="1"/>
    <col min="3" max="3" width="9.140625" bestFit="1" customWidth="1"/>
    <col min="4" max="4" width="20.7109375" bestFit="1" customWidth="1"/>
    <col min="5" max="5" width="14.85546875" bestFit="1" customWidth="1"/>
  </cols>
  <sheetData>
    <row r="1" spans="1:53" ht="15.75">
      <c r="A1" s="29" t="s">
        <v>0</v>
      </c>
      <c r="B1" s="43">
        <f>DATE(2026,1,4)</f>
        <v>46026</v>
      </c>
      <c r="C1" s="43">
        <f t="shared" ref="C1:AH1" si="0">B1+7</f>
        <v>46033</v>
      </c>
      <c r="D1" s="43">
        <f t="shared" si="0"/>
        <v>46040</v>
      </c>
      <c r="E1" s="43">
        <f t="shared" si="0"/>
        <v>46047</v>
      </c>
      <c r="F1" s="43">
        <f t="shared" si="0"/>
        <v>46054</v>
      </c>
      <c r="G1" s="43">
        <f t="shared" si="0"/>
        <v>46061</v>
      </c>
      <c r="H1" s="43">
        <f t="shared" si="0"/>
        <v>46068</v>
      </c>
      <c r="I1" s="43">
        <f t="shared" si="0"/>
        <v>46075</v>
      </c>
      <c r="J1" s="43">
        <f t="shared" si="0"/>
        <v>46082</v>
      </c>
      <c r="K1" s="43">
        <f t="shared" si="0"/>
        <v>46089</v>
      </c>
      <c r="L1" s="43">
        <f t="shared" si="0"/>
        <v>46096</v>
      </c>
      <c r="M1" s="43">
        <f t="shared" si="0"/>
        <v>46103</v>
      </c>
      <c r="N1" s="43">
        <f t="shared" si="0"/>
        <v>46110</v>
      </c>
      <c r="O1" s="43">
        <f t="shared" si="0"/>
        <v>46117</v>
      </c>
      <c r="P1" s="43">
        <f t="shared" si="0"/>
        <v>46124</v>
      </c>
      <c r="Q1" s="43">
        <f t="shared" si="0"/>
        <v>46131</v>
      </c>
      <c r="R1" s="43">
        <f t="shared" si="0"/>
        <v>46138</v>
      </c>
      <c r="S1" s="43">
        <f t="shared" si="0"/>
        <v>46145</v>
      </c>
      <c r="T1" s="43">
        <f t="shared" si="0"/>
        <v>46152</v>
      </c>
      <c r="U1" s="43">
        <f t="shared" si="0"/>
        <v>46159</v>
      </c>
      <c r="V1" s="43">
        <f t="shared" si="0"/>
        <v>46166</v>
      </c>
      <c r="W1" s="43">
        <f t="shared" si="0"/>
        <v>46173</v>
      </c>
      <c r="X1" s="43">
        <f t="shared" si="0"/>
        <v>46180</v>
      </c>
      <c r="Y1" s="43">
        <f t="shared" si="0"/>
        <v>46187</v>
      </c>
      <c r="Z1" s="43">
        <f t="shared" si="0"/>
        <v>46194</v>
      </c>
      <c r="AA1" s="43">
        <f t="shared" si="0"/>
        <v>46201</v>
      </c>
      <c r="AB1" s="43">
        <f t="shared" si="0"/>
        <v>46208</v>
      </c>
      <c r="AC1" s="43">
        <f t="shared" si="0"/>
        <v>46215</v>
      </c>
      <c r="AD1" s="43">
        <f t="shared" si="0"/>
        <v>46222</v>
      </c>
      <c r="AE1" s="43">
        <f t="shared" si="0"/>
        <v>46229</v>
      </c>
      <c r="AF1" s="43">
        <f t="shared" si="0"/>
        <v>46236</v>
      </c>
      <c r="AG1" s="43">
        <f t="shared" si="0"/>
        <v>46243</v>
      </c>
      <c r="AH1" s="43">
        <f t="shared" si="0"/>
        <v>46250</v>
      </c>
      <c r="AI1" s="43">
        <f t="shared" ref="AI1:BA1" si="1">AH1+7</f>
        <v>46257</v>
      </c>
      <c r="AJ1" s="43">
        <f t="shared" si="1"/>
        <v>46264</v>
      </c>
      <c r="AK1" s="43">
        <f t="shared" si="1"/>
        <v>46271</v>
      </c>
      <c r="AL1" s="43">
        <f t="shared" si="1"/>
        <v>46278</v>
      </c>
      <c r="AM1" s="43">
        <f t="shared" si="1"/>
        <v>46285</v>
      </c>
      <c r="AN1" s="43">
        <f t="shared" si="1"/>
        <v>46292</v>
      </c>
      <c r="AO1" s="43">
        <f t="shared" si="1"/>
        <v>46299</v>
      </c>
      <c r="AP1" s="43">
        <f t="shared" si="1"/>
        <v>46306</v>
      </c>
      <c r="AQ1" s="43">
        <f t="shared" si="1"/>
        <v>46313</v>
      </c>
      <c r="AR1" s="43">
        <f t="shared" si="1"/>
        <v>46320</v>
      </c>
      <c r="AS1" s="43">
        <f t="shared" si="1"/>
        <v>46327</v>
      </c>
      <c r="AT1" s="43">
        <f t="shared" si="1"/>
        <v>46334</v>
      </c>
      <c r="AU1" s="43">
        <f t="shared" si="1"/>
        <v>46341</v>
      </c>
      <c r="AV1" s="43">
        <f t="shared" si="1"/>
        <v>46348</v>
      </c>
      <c r="AW1" s="43">
        <f t="shared" si="1"/>
        <v>46355</v>
      </c>
      <c r="AX1" s="43">
        <f t="shared" si="1"/>
        <v>46362</v>
      </c>
      <c r="AY1" s="43">
        <f t="shared" si="1"/>
        <v>46369</v>
      </c>
      <c r="AZ1" s="43">
        <f t="shared" si="1"/>
        <v>46376</v>
      </c>
      <c r="BA1" s="43">
        <f t="shared" si="1"/>
        <v>46383</v>
      </c>
    </row>
    <row r="2" spans="1:53" ht="15.75">
      <c r="A2" s="30" t="s">
        <v>1</v>
      </c>
      <c r="B2" s="31">
        <f>'KPI by Quarter'!B3</f>
        <v>4</v>
      </c>
      <c r="C2" s="31">
        <f>'KPI by Quarter'!C3</f>
        <v>2</v>
      </c>
      <c r="D2" s="31">
        <f>'KPI by Quarter'!D3</f>
        <v>16</v>
      </c>
      <c r="E2" s="31">
        <f>'KPI by Quarter'!E3</f>
        <v>0</v>
      </c>
      <c r="F2" s="31">
        <f>'KPI by Quarter'!F3</f>
        <v>-2</v>
      </c>
      <c r="G2" s="31">
        <f>'KPI by Quarter'!G3</f>
        <v>-6</v>
      </c>
      <c r="H2" s="31">
        <f>'KPI by Quarter'!H3</f>
        <v>4</v>
      </c>
      <c r="I2" s="31">
        <f>'KPI by Quarter'!I3</f>
        <v>26</v>
      </c>
      <c r="J2" s="31">
        <f>'KPI by Quarter'!J3</f>
        <v>3</v>
      </c>
      <c r="K2" s="31">
        <f>'KPI by Quarter'!K3</f>
        <v>7</v>
      </c>
      <c r="L2" s="31">
        <f>'KPI by Quarter'!L3</f>
        <v>11</v>
      </c>
      <c r="M2" s="31">
        <f>'KPI by Quarter'!M3</f>
        <v>22</v>
      </c>
      <c r="N2" s="31">
        <f>'KPI by Quarter'!N3</f>
        <v>27</v>
      </c>
      <c r="O2" s="31">
        <f>'KPI by Quarter'!B20</f>
        <v>249</v>
      </c>
      <c r="P2" s="31">
        <f>'KPI by Quarter'!C20</f>
        <v>363</v>
      </c>
      <c r="Q2" s="31">
        <f>'KPI by Quarter'!D20</f>
        <v>668</v>
      </c>
      <c r="R2" s="31">
        <f>'KPI by Quarter'!E20</f>
        <v>3186</v>
      </c>
      <c r="S2" s="31">
        <f>'KPI by Quarter'!F20</f>
        <v>827</v>
      </c>
      <c r="T2" s="31">
        <f>'KPI by Quarter'!G20</f>
        <v>0</v>
      </c>
      <c r="U2" s="31">
        <f>'KPI by Quarter'!H20</f>
        <v>0</v>
      </c>
      <c r="V2" s="31">
        <f>'KPI by Quarter'!I20</f>
        <v>0</v>
      </c>
      <c r="W2" s="31">
        <f>'KPI by Quarter'!J20</f>
        <v>0</v>
      </c>
      <c r="X2" s="31">
        <f>'KPI by Quarter'!K20</f>
        <v>0</v>
      </c>
      <c r="Y2" s="31">
        <f>'KPI by Quarter'!L20</f>
        <v>0</v>
      </c>
      <c r="Z2" s="31">
        <f>'KPI by Quarter'!M20</f>
        <v>0</v>
      </c>
      <c r="AA2" s="31">
        <f>'KPI by Quarter'!N20</f>
        <v>0</v>
      </c>
      <c r="AB2" s="31">
        <f>'KPI by Quarter'!B37</f>
        <v>0</v>
      </c>
      <c r="AC2" s="31">
        <f>'KPI by Quarter'!C37</f>
        <v>0</v>
      </c>
      <c r="AD2" s="31">
        <f>'KPI by Quarter'!D37</f>
        <v>0</v>
      </c>
      <c r="AE2" s="31">
        <f>'KPI by Quarter'!E37</f>
        <v>0</v>
      </c>
      <c r="AF2" s="31">
        <f>'KPI by Quarter'!F37</f>
        <v>0</v>
      </c>
      <c r="AG2" s="31">
        <f>'KPI by Quarter'!G37</f>
        <v>0</v>
      </c>
      <c r="AH2" s="31">
        <f>'KPI by Quarter'!H37</f>
        <v>0</v>
      </c>
      <c r="AI2" s="31">
        <f>'KPI by Quarter'!I37</f>
        <v>0</v>
      </c>
      <c r="AJ2" s="31">
        <f>'KPI by Quarter'!J37</f>
        <v>0</v>
      </c>
      <c r="AK2" s="31">
        <f>'KPI by Quarter'!K37</f>
        <v>0</v>
      </c>
      <c r="AL2" s="31">
        <f>'KPI by Quarter'!L37</f>
        <v>0</v>
      </c>
      <c r="AM2" s="31">
        <f>'KPI by Quarter'!M37</f>
        <v>0</v>
      </c>
      <c r="AN2" s="31">
        <f>'KPI by Quarter'!N37</f>
        <v>0</v>
      </c>
      <c r="AO2" s="31">
        <f>'KPI by Quarter'!B54</f>
        <v>0</v>
      </c>
      <c r="AP2" s="31">
        <f>'KPI by Quarter'!C54</f>
        <v>0</v>
      </c>
      <c r="AQ2" s="31">
        <f>'KPI by Quarter'!D54</f>
        <v>0</v>
      </c>
      <c r="AR2" s="31">
        <f>'KPI by Quarter'!E54</f>
        <v>0</v>
      </c>
      <c r="AS2" s="31">
        <f>'KPI by Quarter'!F54</f>
        <v>0</v>
      </c>
      <c r="AT2" s="31">
        <f>'KPI by Quarter'!G54</f>
        <v>0</v>
      </c>
      <c r="AU2" s="31">
        <f>'KPI by Quarter'!H54</f>
        <v>0</v>
      </c>
      <c r="AV2" s="31">
        <f>'KPI by Quarter'!I54</f>
        <v>0</v>
      </c>
      <c r="AW2" s="31">
        <f>'KPI by Quarter'!J54</f>
        <v>0</v>
      </c>
      <c r="AX2" s="31">
        <f>'KPI by Quarter'!K54</f>
        <v>0</v>
      </c>
      <c r="AY2" s="31">
        <f>'KPI by Quarter'!L54</f>
        <v>0</v>
      </c>
      <c r="AZ2" s="31">
        <f>'KPI by Quarter'!M54</f>
        <v>0</v>
      </c>
      <c r="BA2" s="31">
        <f>'KPI by Quarter'!N54</f>
        <v>0</v>
      </c>
    </row>
    <row r="3" spans="1:53" ht="15.75">
      <c r="A3" s="30" t="s">
        <v>2</v>
      </c>
      <c r="B3" s="31">
        <f>'KPI by Quarter'!B4</f>
        <v>5095</v>
      </c>
      <c r="C3" s="31">
        <f>'KPI by Quarter'!C4</f>
        <v>6399</v>
      </c>
      <c r="D3" s="31">
        <f>'KPI by Quarter'!D4</f>
        <v>5490</v>
      </c>
      <c r="E3" s="31">
        <f>'KPI by Quarter'!E4</f>
        <v>5392</v>
      </c>
      <c r="F3" s="31">
        <f>'KPI by Quarter'!F4</f>
        <v>5225</v>
      </c>
      <c r="G3" s="31">
        <f>'KPI by Quarter'!G4</f>
        <v>4806</v>
      </c>
      <c r="H3" s="31">
        <f>'KPI by Quarter'!H4</f>
        <v>4560</v>
      </c>
      <c r="I3" s="31">
        <f>'KPI by Quarter'!I4</f>
        <v>4282</v>
      </c>
      <c r="J3" s="31">
        <f>'KPI by Quarter'!J4</f>
        <v>5673</v>
      </c>
      <c r="K3" s="31">
        <f>'KPI by Quarter'!K4</f>
        <v>3043</v>
      </c>
      <c r="L3" s="31">
        <f>'KPI by Quarter'!L4</f>
        <v>3184</v>
      </c>
      <c r="M3" s="31">
        <f>'KPI by Quarter'!M4</f>
        <v>3803</v>
      </c>
      <c r="N3" s="31">
        <f>'KPI by Quarter'!N4</f>
        <v>3196</v>
      </c>
      <c r="O3" s="31">
        <f>'KPI by Quarter'!B21</f>
        <v>3697</v>
      </c>
      <c r="P3" s="31">
        <f>'KPI by Quarter'!C21</f>
        <v>4970</v>
      </c>
      <c r="Q3" s="31">
        <f>'KPI by Quarter'!D21</f>
        <v>14388</v>
      </c>
      <c r="R3" s="31">
        <f>'KPI by Quarter'!E21</f>
        <v>16730</v>
      </c>
      <c r="S3" s="31">
        <f>'KPI by Quarter'!F21</f>
        <v>14879</v>
      </c>
      <c r="T3" s="31">
        <f>'KPI by Quarter'!G21</f>
        <v>0</v>
      </c>
      <c r="U3" s="31">
        <f>'KPI by Quarter'!H21</f>
        <v>0</v>
      </c>
      <c r="V3" s="31">
        <f>'KPI by Quarter'!I21</f>
        <v>0</v>
      </c>
      <c r="W3" s="31">
        <f>'KPI by Quarter'!J21</f>
        <v>0</v>
      </c>
      <c r="X3" s="31">
        <f>'KPI by Quarter'!K21</f>
        <v>0</v>
      </c>
      <c r="Y3" s="31">
        <f>'KPI by Quarter'!L21</f>
        <v>0</v>
      </c>
      <c r="Z3" s="31">
        <f>'KPI by Quarter'!M21</f>
        <v>0</v>
      </c>
      <c r="AA3" s="31">
        <f>'KPI by Quarter'!N21</f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v>0</v>
      </c>
      <c r="AJ3" s="31">
        <v>0</v>
      </c>
      <c r="AK3" s="31">
        <v>0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31">
        <v>0</v>
      </c>
      <c r="AZ3" s="31">
        <v>0</v>
      </c>
      <c r="BA3" s="31">
        <v>0</v>
      </c>
    </row>
    <row r="4" spans="1:53" ht="15.75">
      <c r="A4" s="30" t="s">
        <v>3</v>
      </c>
      <c r="B4" s="31">
        <f>'KPI by Quarter'!B5</f>
        <v>1107</v>
      </c>
      <c r="C4" s="31">
        <f>'KPI by Quarter'!C5</f>
        <v>2049</v>
      </c>
      <c r="D4" s="31">
        <f>'KPI by Quarter'!D5</f>
        <v>1631</v>
      </c>
      <c r="E4" s="31">
        <f>'KPI by Quarter'!E5</f>
        <v>889</v>
      </c>
      <c r="F4" s="31">
        <f>'KPI by Quarter'!F5</f>
        <v>726</v>
      </c>
      <c r="G4" s="31">
        <f>'KPI by Quarter'!G5</f>
        <v>705</v>
      </c>
      <c r="H4" s="31">
        <f>'KPI by Quarter'!H5</f>
        <v>769</v>
      </c>
      <c r="I4" s="31">
        <f>'KPI by Quarter'!I5</f>
        <v>704</v>
      </c>
      <c r="J4" s="31">
        <f>'KPI by Quarter'!J5</f>
        <v>906</v>
      </c>
      <c r="K4" s="31">
        <f>'KPI by Quarter'!K5</f>
        <v>680</v>
      </c>
      <c r="L4" s="31">
        <f>'KPI by Quarter'!L5</f>
        <v>507</v>
      </c>
      <c r="M4" s="31">
        <f>'KPI by Quarter'!M5</f>
        <v>618</v>
      </c>
      <c r="N4" s="31">
        <f>'KPI by Quarter'!N5</f>
        <v>595</v>
      </c>
      <c r="O4" s="31">
        <f>'KPI by Quarter'!B22</f>
        <v>1276</v>
      </c>
      <c r="P4" s="31">
        <f>'KPI by Quarter'!C22</f>
        <v>2020</v>
      </c>
      <c r="Q4" s="31">
        <f>'KPI by Quarter'!D22</f>
        <v>2147</v>
      </c>
      <c r="R4" s="31">
        <f>'KPI by Quarter'!E22</f>
        <v>14587</v>
      </c>
      <c r="S4" s="31">
        <f>'KPI by Quarter'!F22</f>
        <v>6087</v>
      </c>
      <c r="T4" s="31">
        <f>'KPI by Quarter'!G22</f>
        <v>0</v>
      </c>
      <c r="U4" s="31">
        <f>'KPI by Quarter'!H22</f>
        <v>0</v>
      </c>
      <c r="V4" s="31">
        <f>'KPI by Quarter'!I22</f>
        <v>0</v>
      </c>
      <c r="W4" s="31">
        <f>'KPI by Quarter'!J22</f>
        <v>0</v>
      </c>
      <c r="X4" s="31">
        <f>'KPI by Quarter'!K22</f>
        <v>0</v>
      </c>
      <c r="Y4" s="31">
        <f>'KPI by Quarter'!L22</f>
        <v>0</v>
      </c>
      <c r="Z4" s="31">
        <f>'KPI by Quarter'!M22</f>
        <v>0</v>
      </c>
      <c r="AA4" s="31">
        <f>'KPI by Quarter'!N22</f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0</v>
      </c>
      <c r="AY4" s="31">
        <v>0</v>
      </c>
      <c r="AZ4" s="31">
        <v>0</v>
      </c>
      <c r="BA4" s="31">
        <v>0</v>
      </c>
    </row>
    <row r="5" spans="1:53" s="1" customFormat="1" ht="15.75">
      <c r="A5" s="49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</row>
    <row r="6" spans="1:53" ht="15.75">
      <c r="A6" s="32" t="s">
        <v>4</v>
      </c>
      <c r="B6" s="33">
        <f>'KPI by Quarter'!B7</f>
        <v>22</v>
      </c>
      <c r="C6" s="33">
        <f>'KPI by Quarter'!C7</f>
        <v>22</v>
      </c>
      <c r="D6" s="33">
        <f>'KPI by Quarter'!D7</f>
        <v>23</v>
      </c>
      <c r="E6" s="33">
        <f>'KPI by Quarter'!E7</f>
        <v>20</v>
      </c>
      <c r="F6" s="33">
        <f>'KPI by Quarter'!F7</f>
        <v>286</v>
      </c>
      <c r="G6" s="33">
        <f>'KPI by Quarter'!G7</f>
        <v>90</v>
      </c>
      <c r="H6" s="33">
        <f>'KPI by Quarter'!H7</f>
        <v>132</v>
      </c>
      <c r="I6" s="33">
        <f>'KPI by Quarter'!I7</f>
        <v>54</v>
      </c>
      <c r="J6" s="33">
        <f>'KPI by Quarter'!J7</f>
        <v>89</v>
      </c>
      <c r="K6" s="33">
        <f>'KPI by Quarter'!K7</f>
        <v>69</v>
      </c>
      <c r="L6" s="33">
        <f>'KPI by Quarter'!L7</f>
        <v>95</v>
      </c>
      <c r="M6" s="33">
        <f>'KPI by Quarter'!M7</f>
        <v>218</v>
      </c>
      <c r="N6" s="33">
        <f>'KPI by Quarter'!N7</f>
        <v>106</v>
      </c>
      <c r="O6" s="33">
        <f>'KPI by Quarter'!B24</f>
        <v>83</v>
      </c>
      <c r="P6" s="33">
        <f>'KPI by Quarter'!C24</f>
        <v>92</v>
      </c>
      <c r="Q6" s="33">
        <f>'KPI by Quarter'!D24</f>
        <v>295</v>
      </c>
      <c r="R6" s="33">
        <f>'KPI by Quarter'!E24</f>
        <v>514</v>
      </c>
      <c r="S6" s="33">
        <f>'KPI by Quarter'!F24</f>
        <v>272</v>
      </c>
      <c r="T6" s="33">
        <f>'KPI by Quarter'!G24</f>
        <v>0</v>
      </c>
      <c r="U6" s="33">
        <f>'KPI by Quarter'!H24</f>
        <v>0</v>
      </c>
      <c r="V6" s="33">
        <f>'KPI by Quarter'!I24</f>
        <v>0</v>
      </c>
      <c r="W6" s="33">
        <f>'KPI by Quarter'!J24</f>
        <v>0</v>
      </c>
      <c r="X6" s="33">
        <f>'KPI by Quarter'!K24</f>
        <v>0</v>
      </c>
      <c r="Y6" s="33">
        <f>'KPI by Quarter'!L24</f>
        <v>0</v>
      </c>
      <c r="Z6" s="33">
        <f>'KPI by Quarter'!M24</f>
        <v>0</v>
      </c>
      <c r="AA6" s="33">
        <f>'KPI by Quarter'!N24</f>
        <v>0</v>
      </c>
      <c r="AB6" s="33">
        <f>'KPI by Quarter'!B41</f>
        <v>0</v>
      </c>
      <c r="AC6" s="33">
        <f>'KPI by Quarter'!C41</f>
        <v>0</v>
      </c>
      <c r="AD6" s="33">
        <f>'KPI by Quarter'!D41</f>
        <v>0</v>
      </c>
      <c r="AE6" s="33">
        <f>'KPI by Quarter'!E41</f>
        <v>0</v>
      </c>
      <c r="AF6" s="33">
        <f>'KPI by Quarter'!F41</f>
        <v>0</v>
      </c>
      <c r="AG6" s="33">
        <f>'KPI by Quarter'!G41</f>
        <v>0</v>
      </c>
      <c r="AH6" s="33">
        <f>'KPI by Quarter'!H41</f>
        <v>0</v>
      </c>
      <c r="AI6" s="33">
        <f>'KPI by Quarter'!I41</f>
        <v>0</v>
      </c>
      <c r="AJ6" s="33">
        <f>'KPI by Quarter'!J41</f>
        <v>0</v>
      </c>
      <c r="AK6" s="33">
        <f>'KPI by Quarter'!K41</f>
        <v>0</v>
      </c>
      <c r="AL6" s="33">
        <f>'KPI by Quarter'!L41</f>
        <v>0</v>
      </c>
      <c r="AM6" s="33">
        <f>'KPI by Quarter'!M41</f>
        <v>0</v>
      </c>
      <c r="AN6" s="33">
        <f>'KPI by Quarter'!N41</f>
        <v>0</v>
      </c>
      <c r="AO6" s="33">
        <f>'KPI by Quarter'!B58</f>
        <v>0</v>
      </c>
      <c r="AP6" s="33">
        <f>'KPI by Quarter'!C58</f>
        <v>0</v>
      </c>
      <c r="AQ6" s="33">
        <f>'KPI by Quarter'!D58</f>
        <v>0</v>
      </c>
      <c r="AR6" s="33">
        <f>'KPI by Quarter'!E58</f>
        <v>0</v>
      </c>
      <c r="AS6" s="33">
        <f>'KPI by Quarter'!F58</f>
        <v>0</v>
      </c>
      <c r="AT6" s="33">
        <f>'KPI by Quarter'!G58</f>
        <v>0</v>
      </c>
      <c r="AU6" s="33">
        <f>'KPI by Quarter'!H58</f>
        <v>0</v>
      </c>
      <c r="AV6" s="33">
        <f>'KPI by Quarter'!I58</f>
        <v>0</v>
      </c>
      <c r="AW6" s="33">
        <f>'KPI by Quarter'!J58</f>
        <v>0</v>
      </c>
      <c r="AX6" s="33">
        <f>'KPI by Quarter'!K58</f>
        <v>0</v>
      </c>
      <c r="AY6" s="33">
        <f>'KPI by Quarter'!L58</f>
        <v>0</v>
      </c>
      <c r="AZ6" s="33">
        <f>'KPI by Quarter'!M58</f>
        <v>0</v>
      </c>
      <c r="BA6" s="33">
        <f>'KPI by Quarter'!N58</f>
        <v>0</v>
      </c>
    </row>
    <row r="7" spans="1:53" ht="15.75">
      <c r="A7" s="32" t="s">
        <v>5</v>
      </c>
      <c r="B7" s="33">
        <f>'KPI by Quarter'!B8</f>
        <v>1568</v>
      </c>
      <c r="C7" s="33">
        <f>'KPI by Quarter'!C8</f>
        <v>1879</v>
      </c>
      <c r="D7" s="33">
        <f>'KPI by Quarter'!D8</f>
        <v>2210</v>
      </c>
      <c r="E7" s="33">
        <f>'KPI by Quarter'!E8</f>
        <v>2066</v>
      </c>
      <c r="F7" s="33">
        <f>'KPI by Quarter'!F8</f>
        <v>3259</v>
      </c>
      <c r="G7" s="33">
        <f>'KPI by Quarter'!G8</f>
        <v>2320</v>
      </c>
      <c r="H7" s="33">
        <f>'KPI by Quarter'!H8</f>
        <v>2324</v>
      </c>
      <c r="I7" s="33">
        <f>'KPI by Quarter'!I8</f>
        <v>2304</v>
      </c>
      <c r="J7" s="33">
        <f>'KPI by Quarter'!J8</f>
        <v>2222</v>
      </c>
      <c r="K7" s="33">
        <f>'KPI by Quarter'!K8</f>
        <v>1967</v>
      </c>
      <c r="L7" s="33">
        <f>'KPI by Quarter'!L8</f>
        <v>4553</v>
      </c>
      <c r="M7" s="33">
        <f>'KPI by Quarter'!M8</f>
        <v>6425</v>
      </c>
      <c r="N7" s="33">
        <f>'KPI by Quarter'!N8</f>
        <v>5374</v>
      </c>
      <c r="O7" s="33">
        <f>'KPI by Quarter'!B25</f>
        <v>3631</v>
      </c>
      <c r="P7" s="33">
        <f>'KPI by Quarter'!C25</f>
        <v>3253</v>
      </c>
      <c r="Q7" s="33">
        <f>'KPI by Quarter'!D25</f>
        <v>14258</v>
      </c>
      <c r="R7" s="33">
        <f>'KPI by Quarter'!E25</f>
        <v>6946</v>
      </c>
      <c r="S7" s="33">
        <f>'KPI by Quarter'!F25</f>
        <v>7164</v>
      </c>
      <c r="T7" s="33">
        <f>'KPI by Quarter'!G25</f>
        <v>0</v>
      </c>
      <c r="U7" s="33">
        <f>'KPI by Quarter'!H25</f>
        <v>0</v>
      </c>
      <c r="V7" s="33">
        <f>'KPI by Quarter'!I25</f>
        <v>0</v>
      </c>
      <c r="W7" s="33">
        <f>'KPI by Quarter'!J25</f>
        <v>0</v>
      </c>
      <c r="X7" s="33">
        <f>'KPI by Quarter'!K25</f>
        <v>0</v>
      </c>
      <c r="Y7" s="33">
        <f>'KPI by Quarter'!L25</f>
        <v>0</v>
      </c>
      <c r="Z7" s="33">
        <f>'KPI by Quarter'!M25</f>
        <v>0</v>
      </c>
      <c r="AA7" s="33">
        <f>'KPI by Quarter'!N25</f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0</v>
      </c>
      <c r="AV7" s="33">
        <v>0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</row>
    <row r="8" spans="1:53" ht="15.75">
      <c r="A8" s="32" t="s">
        <v>6</v>
      </c>
      <c r="B8" s="33">
        <f>'KPI by Quarter'!B9</f>
        <v>424</v>
      </c>
      <c r="C8" s="33">
        <f>'KPI by Quarter'!C9</f>
        <v>682</v>
      </c>
      <c r="D8" s="33">
        <f>'KPI by Quarter'!D9</f>
        <v>591</v>
      </c>
      <c r="E8" s="33">
        <f>'KPI by Quarter'!E9</f>
        <v>765</v>
      </c>
      <c r="F8" s="33">
        <f>'KPI by Quarter'!F9</f>
        <v>1007</v>
      </c>
      <c r="G8" s="33">
        <f>'KPI by Quarter'!G9</f>
        <v>798</v>
      </c>
      <c r="H8" s="33">
        <f>'KPI by Quarter'!H9</f>
        <v>912</v>
      </c>
      <c r="I8" s="33">
        <f>'KPI by Quarter'!I9</f>
        <v>832</v>
      </c>
      <c r="J8" s="33">
        <f>'KPI by Quarter'!J9</f>
        <v>959</v>
      </c>
      <c r="K8" s="33">
        <f>'KPI by Quarter'!K9</f>
        <v>806</v>
      </c>
      <c r="L8" s="33">
        <f>'KPI by Quarter'!L9</f>
        <v>963</v>
      </c>
      <c r="M8" s="33">
        <f>'KPI by Quarter'!M9</f>
        <v>1339</v>
      </c>
      <c r="N8" s="33">
        <f>'KPI by Quarter'!N9</f>
        <v>1046</v>
      </c>
      <c r="O8" s="33">
        <f>'KPI by Quarter'!B26</f>
        <v>887</v>
      </c>
      <c r="P8" s="33">
        <f>'KPI by Quarter'!C26</f>
        <v>839</v>
      </c>
      <c r="Q8" s="33">
        <f>'KPI by Quarter'!D26</f>
        <v>1232</v>
      </c>
      <c r="R8" s="33">
        <f>'KPI by Quarter'!E26</f>
        <v>1542</v>
      </c>
      <c r="S8" s="33">
        <f>'KPI by Quarter'!F26</f>
        <v>1502</v>
      </c>
      <c r="T8" s="33">
        <f>'KPI by Quarter'!G26</f>
        <v>0</v>
      </c>
      <c r="U8" s="33">
        <f>'KPI by Quarter'!H26</f>
        <v>0</v>
      </c>
      <c r="V8" s="33">
        <f>'KPI by Quarter'!I26</f>
        <v>0</v>
      </c>
      <c r="W8" s="33">
        <f>'KPI by Quarter'!J26</f>
        <v>0</v>
      </c>
      <c r="X8" s="33">
        <f>'KPI by Quarter'!K26</f>
        <v>0</v>
      </c>
      <c r="Y8" s="33">
        <f>'KPI by Quarter'!L26</f>
        <v>0</v>
      </c>
      <c r="Z8" s="33">
        <f>'KPI by Quarter'!M26</f>
        <v>0</v>
      </c>
      <c r="AA8" s="33">
        <f>'KPI by Quarter'!N26</f>
        <v>0</v>
      </c>
      <c r="AB8" s="33">
        <v>0</v>
      </c>
      <c r="AC8" s="33">
        <v>0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</row>
    <row r="9" spans="1:53" s="1" customFormat="1" ht="15.75">
      <c r="A9" s="49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spans="1:53" ht="15.75">
      <c r="A10" s="34" t="s">
        <v>7</v>
      </c>
      <c r="B10" s="35">
        <f>'KPI by Quarter'!B11</f>
        <v>155</v>
      </c>
      <c r="C10" s="35">
        <f>'KPI by Quarter'!C11</f>
        <v>36</v>
      </c>
      <c r="D10" s="35">
        <f>'KPI by Quarter'!D11</f>
        <v>16</v>
      </c>
      <c r="E10" s="35">
        <f>'KPI by Quarter'!E11</f>
        <v>12</v>
      </c>
      <c r="F10" s="35">
        <f>'KPI by Quarter'!F11</f>
        <v>23</v>
      </c>
      <c r="G10" s="35">
        <f>'KPI by Quarter'!G11</f>
        <v>30</v>
      </c>
      <c r="H10" s="35">
        <f>'KPI by Quarter'!H11</f>
        <v>29</v>
      </c>
      <c r="I10" s="35">
        <f>'KPI by Quarter'!I11</f>
        <v>76</v>
      </c>
      <c r="J10" s="35">
        <f>'KPI by Quarter'!J11</f>
        <v>959</v>
      </c>
      <c r="K10" s="35">
        <f>'KPI by Quarter'!K11</f>
        <v>37</v>
      </c>
      <c r="L10" s="35">
        <f>'KPI by Quarter'!L11</f>
        <v>24</v>
      </c>
      <c r="M10" s="35">
        <f>'KPI by Quarter'!M11</f>
        <v>11</v>
      </c>
      <c r="N10" s="35">
        <f>'KPI by Quarter'!N11</f>
        <v>17</v>
      </c>
      <c r="O10" s="35">
        <f>'KPI by Quarter'!B28</f>
        <v>41</v>
      </c>
      <c r="P10" s="35">
        <f>'KPI by Quarter'!C28</f>
        <v>35</v>
      </c>
      <c r="Q10" s="35">
        <f>'KPI by Quarter'!D28</f>
        <v>28</v>
      </c>
      <c r="R10" s="35">
        <f>'KPI by Quarter'!E28</f>
        <v>26</v>
      </c>
      <c r="S10" s="35">
        <f>'KPI by Quarter'!F28</f>
        <v>14</v>
      </c>
      <c r="T10" s="35">
        <f>'KPI by Quarter'!G28</f>
        <v>0</v>
      </c>
      <c r="U10" s="35">
        <f>'KPI by Quarter'!H28</f>
        <v>0</v>
      </c>
      <c r="V10" s="35">
        <f>'KPI by Quarter'!I28</f>
        <v>0</v>
      </c>
      <c r="W10" s="35">
        <f>'KPI by Quarter'!J28</f>
        <v>0</v>
      </c>
      <c r="X10" s="35">
        <f>'KPI by Quarter'!K28</f>
        <v>0</v>
      </c>
      <c r="Y10" s="35">
        <f>'KPI by Quarter'!L28</f>
        <v>0</v>
      </c>
      <c r="Z10" s="35">
        <f>'KPI by Quarter'!M28</f>
        <v>0</v>
      </c>
      <c r="AA10" s="35">
        <f>'KPI by Quarter'!N28</f>
        <v>0</v>
      </c>
      <c r="AB10" s="35">
        <f>'KPI by Quarter'!B45</f>
        <v>0</v>
      </c>
      <c r="AC10" s="35">
        <f>'KPI by Quarter'!C45</f>
        <v>0</v>
      </c>
      <c r="AD10" s="35">
        <f>'KPI by Quarter'!D45</f>
        <v>0</v>
      </c>
      <c r="AE10" s="35">
        <f>'KPI by Quarter'!E45</f>
        <v>0</v>
      </c>
      <c r="AF10" s="35">
        <f>'KPI by Quarter'!F45</f>
        <v>0</v>
      </c>
      <c r="AG10" s="35">
        <f>'KPI by Quarter'!G45</f>
        <v>0</v>
      </c>
      <c r="AH10" s="35">
        <f>'KPI by Quarter'!H45</f>
        <v>0</v>
      </c>
      <c r="AI10" s="35">
        <f>'KPI by Quarter'!I45</f>
        <v>0</v>
      </c>
      <c r="AJ10" s="35">
        <f>'KPI by Quarter'!J45</f>
        <v>0</v>
      </c>
      <c r="AK10" s="35">
        <f>'KPI by Quarter'!K45</f>
        <v>0</v>
      </c>
      <c r="AL10" s="35">
        <f>'KPI by Quarter'!L45</f>
        <v>0</v>
      </c>
      <c r="AM10" s="35">
        <f>'KPI by Quarter'!M45</f>
        <v>0</v>
      </c>
      <c r="AN10" s="35">
        <f>'KPI by Quarter'!N45</f>
        <v>0</v>
      </c>
      <c r="AO10" s="35">
        <f>'KPI by Quarter'!B62</f>
        <v>0</v>
      </c>
      <c r="AP10" s="35">
        <f>'KPI by Quarter'!C62</f>
        <v>0</v>
      </c>
      <c r="AQ10" s="35">
        <f>'KPI by Quarter'!D62</f>
        <v>0</v>
      </c>
      <c r="AR10" s="35">
        <f>'KPI by Quarter'!E62</f>
        <v>0</v>
      </c>
      <c r="AS10" s="35">
        <f>'KPI by Quarter'!F62</f>
        <v>0</v>
      </c>
      <c r="AT10" s="35">
        <f>'KPI by Quarter'!G62</f>
        <v>0</v>
      </c>
      <c r="AU10" s="35">
        <f>'KPI by Quarter'!H62</f>
        <v>0</v>
      </c>
      <c r="AV10" s="35">
        <f>'KPI by Quarter'!I62</f>
        <v>0</v>
      </c>
      <c r="AW10" s="35">
        <f>'KPI by Quarter'!J62</f>
        <v>0</v>
      </c>
      <c r="AX10" s="35">
        <f>'KPI by Quarter'!K62</f>
        <v>0</v>
      </c>
      <c r="AY10" s="35">
        <f>'KPI by Quarter'!L62</f>
        <v>0</v>
      </c>
      <c r="AZ10" s="35">
        <f>'KPI by Quarter'!M62</f>
        <v>0</v>
      </c>
      <c r="BA10" s="35">
        <f>'KPI by Quarter'!N62</f>
        <v>0</v>
      </c>
    </row>
    <row r="11" spans="1:53" ht="15.75">
      <c r="A11" s="34" t="s">
        <v>8</v>
      </c>
      <c r="B11" s="35">
        <f>'KPI by Quarter'!B12</f>
        <v>3279</v>
      </c>
      <c r="C11" s="35">
        <f>'KPI by Quarter'!C12</f>
        <v>4700</v>
      </c>
      <c r="D11" s="35">
        <f>'KPI by Quarter'!D12</f>
        <v>3386</v>
      </c>
      <c r="E11" s="35">
        <f>'KPI by Quarter'!E12</f>
        <v>2992</v>
      </c>
      <c r="F11" s="35">
        <f>'KPI by Quarter'!F12</f>
        <v>3010</v>
      </c>
      <c r="G11" s="35">
        <f>'KPI by Quarter'!G12</f>
        <v>3278</v>
      </c>
      <c r="H11" s="35">
        <f>'KPI by Quarter'!H12</f>
        <v>3624</v>
      </c>
      <c r="I11" s="35">
        <f>'KPI by Quarter'!I12</f>
        <v>3748</v>
      </c>
      <c r="J11" s="35">
        <f>'KPI by Quarter'!J12</f>
        <v>153264</v>
      </c>
      <c r="K11" s="35">
        <f>'KPI by Quarter'!K12</f>
        <v>16940</v>
      </c>
      <c r="L11" s="35">
        <f>'KPI by Quarter'!L12</f>
        <v>5171</v>
      </c>
      <c r="M11" s="35">
        <f>'KPI by Quarter'!M12</f>
        <v>3906</v>
      </c>
      <c r="N11" s="35">
        <f>'KPI by Quarter'!N12</f>
        <v>3455</v>
      </c>
      <c r="O11" s="35">
        <f>'KPI by Quarter'!B29</f>
        <v>3364</v>
      </c>
      <c r="P11" s="35">
        <f>'KPI by Quarter'!C29</f>
        <v>3463</v>
      </c>
      <c r="Q11" s="35">
        <f>'KPI by Quarter'!D29</f>
        <v>2997</v>
      </c>
      <c r="R11" s="35">
        <f>'KPI by Quarter'!E29</f>
        <v>2844</v>
      </c>
      <c r="S11" s="35">
        <f>'KPI by Quarter'!F29</f>
        <v>2837</v>
      </c>
      <c r="T11" s="35">
        <f>'KPI by Quarter'!G29</f>
        <v>0</v>
      </c>
      <c r="U11" s="35">
        <f>'KPI by Quarter'!H29</f>
        <v>0</v>
      </c>
      <c r="V11" s="35">
        <f>'KPI by Quarter'!I29</f>
        <v>0</v>
      </c>
      <c r="W11" s="35">
        <f>'KPI by Quarter'!J29</f>
        <v>0</v>
      </c>
      <c r="X11" s="35">
        <f>'KPI by Quarter'!K29</f>
        <v>0</v>
      </c>
      <c r="Y11" s="35">
        <f>'KPI by Quarter'!L29</f>
        <v>0</v>
      </c>
      <c r="Z11" s="35">
        <f>'KPI by Quarter'!M29</f>
        <v>0</v>
      </c>
      <c r="AA11" s="35">
        <f>'KPI by Quarter'!N29</f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  <c r="AR11" s="35">
        <v>0</v>
      </c>
      <c r="AS11" s="35">
        <v>0</v>
      </c>
      <c r="AT11" s="35">
        <v>0</v>
      </c>
      <c r="AU11" s="35">
        <v>0</v>
      </c>
      <c r="AV11" s="35">
        <v>0</v>
      </c>
      <c r="AW11" s="35">
        <v>0</v>
      </c>
      <c r="AX11" s="35">
        <v>0</v>
      </c>
      <c r="AY11" s="35">
        <v>0</v>
      </c>
      <c r="AZ11" s="35">
        <v>0</v>
      </c>
      <c r="BA11" s="35">
        <v>0</v>
      </c>
    </row>
    <row r="12" spans="1:53" ht="15.75">
      <c r="A12" s="34" t="s">
        <v>9</v>
      </c>
      <c r="B12" s="35">
        <f>'KPI by Quarter'!B13</f>
        <v>1513</v>
      </c>
      <c r="C12" s="35">
        <f>'KPI by Quarter'!C13</f>
        <v>833</v>
      </c>
      <c r="D12" s="35">
        <f>'KPI by Quarter'!D13</f>
        <v>795</v>
      </c>
      <c r="E12" s="35">
        <f>'KPI by Quarter'!E13</f>
        <v>690</v>
      </c>
      <c r="F12" s="35">
        <f>'KPI by Quarter'!F13</f>
        <v>1056</v>
      </c>
      <c r="G12" s="35">
        <f>'KPI by Quarter'!G13</f>
        <v>885</v>
      </c>
      <c r="H12" s="35">
        <f>'KPI by Quarter'!H13</f>
        <v>1126</v>
      </c>
      <c r="I12" s="35">
        <f>'KPI by Quarter'!I13</f>
        <v>906</v>
      </c>
      <c r="J12" s="35">
        <f>'KPI by Quarter'!J13</f>
        <v>5244</v>
      </c>
      <c r="K12" s="35">
        <f>'KPI by Quarter'!K13</f>
        <v>1617</v>
      </c>
      <c r="L12" s="35">
        <f>'KPI by Quarter'!L13</f>
        <v>1051</v>
      </c>
      <c r="M12" s="35">
        <f>'KPI by Quarter'!M13</f>
        <v>1005</v>
      </c>
      <c r="N12" s="35">
        <f>'KPI by Quarter'!N13</f>
        <v>4897</v>
      </c>
      <c r="O12" s="35">
        <f>'KPI by Quarter'!B30</f>
        <v>5782</v>
      </c>
      <c r="P12" s="35">
        <f>'KPI by Quarter'!C30</f>
        <v>7678</v>
      </c>
      <c r="Q12" s="35">
        <f>'KPI by Quarter'!D30</f>
        <v>5615</v>
      </c>
      <c r="R12" s="35">
        <f>'KPI by Quarter'!E30</f>
        <v>5242</v>
      </c>
      <c r="S12" s="35">
        <f>'KPI by Quarter'!F30</f>
        <v>7094</v>
      </c>
      <c r="T12" s="35">
        <f>'KPI by Quarter'!G30</f>
        <v>0</v>
      </c>
      <c r="U12" s="35">
        <f>'KPI by Quarter'!H30</f>
        <v>0</v>
      </c>
      <c r="V12" s="35">
        <f>'KPI by Quarter'!I30</f>
        <v>0</v>
      </c>
      <c r="W12" s="35">
        <f>'KPI by Quarter'!J30</f>
        <v>0</v>
      </c>
      <c r="X12" s="35">
        <f>'KPI by Quarter'!K30</f>
        <v>0</v>
      </c>
      <c r="Y12" s="35">
        <f>'KPI by Quarter'!L30</f>
        <v>0</v>
      </c>
      <c r="Z12" s="35">
        <f>'KPI by Quarter'!M30</f>
        <v>0</v>
      </c>
      <c r="AA12" s="35">
        <f>'KPI by Quarter'!N30</f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35">
        <v>0</v>
      </c>
      <c r="AL12" s="35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35">
        <v>0</v>
      </c>
      <c r="AS12" s="35">
        <v>0</v>
      </c>
      <c r="AT12" s="35">
        <v>0</v>
      </c>
      <c r="AU12" s="35">
        <v>0</v>
      </c>
      <c r="AV12" s="35">
        <v>0</v>
      </c>
      <c r="AW12" s="35">
        <v>0</v>
      </c>
      <c r="AX12" s="35">
        <v>0</v>
      </c>
      <c r="AY12" s="35">
        <v>0</v>
      </c>
      <c r="AZ12" s="35">
        <v>0</v>
      </c>
      <c r="BA12" s="35">
        <v>0</v>
      </c>
    </row>
    <row r="13" spans="1:53" s="1" customFormat="1" ht="15.75">
      <c r="A13" s="49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</row>
    <row r="14" spans="1:53" ht="15.75">
      <c r="A14" s="36" t="s">
        <v>10</v>
      </c>
      <c r="B14" s="37">
        <f>'KPI by Quarter'!B15</f>
        <v>49</v>
      </c>
      <c r="C14" s="37">
        <f>'KPI by Quarter'!C15</f>
        <v>76</v>
      </c>
      <c r="D14" s="37">
        <f>'KPI by Quarter'!D15</f>
        <v>138</v>
      </c>
      <c r="E14" s="37">
        <f>'KPI by Quarter'!E15</f>
        <v>33</v>
      </c>
      <c r="F14" s="37">
        <f>'KPI by Quarter'!F15</f>
        <v>-2</v>
      </c>
      <c r="G14" s="37">
        <f>'KPI by Quarter'!G15</f>
        <v>12</v>
      </c>
      <c r="H14" s="37">
        <f>'KPI by Quarter'!H15</f>
        <v>1</v>
      </c>
      <c r="I14" s="37">
        <f>'KPI by Quarter'!I15</f>
        <v>0</v>
      </c>
      <c r="J14" s="37">
        <f>'KPI by Quarter'!J15</f>
        <v>-14</v>
      </c>
      <c r="K14" s="37">
        <f>'KPI by Quarter'!K15</f>
        <v>5</v>
      </c>
      <c r="L14" s="37">
        <f>'KPI by Quarter'!L15</f>
        <v>1</v>
      </c>
      <c r="M14" s="37">
        <f>'KPI by Quarter'!M15</f>
        <v>-5</v>
      </c>
      <c r="N14" s="37">
        <f>'KPI by Quarter'!N15</f>
        <v>-2</v>
      </c>
      <c r="O14" s="37">
        <f>'KPI by Quarter'!B32</f>
        <v>8</v>
      </c>
      <c r="P14" s="37">
        <f>'KPI by Quarter'!C32</f>
        <v>8</v>
      </c>
      <c r="Q14" s="37">
        <f>'KPI by Quarter'!D32</f>
        <v>-4</v>
      </c>
      <c r="R14" s="37">
        <f>'KPI by Quarter'!E32</f>
        <v>-2</v>
      </c>
      <c r="S14" s="37">
        <f>'KPI by Quarter'!F32</f>
        <v>15</v>
      </c>
      <c r="T14" s="37">
        <f>'KPI by Quarter'!G32</f>
        <v>0</v>
      </c>
      <c r="U14" s="37">
        <f>'KPI by Quarter'!H32</f>
        <v>0</v>
      </c>
      <c r="V14" s="37">
        <f>'KPI by Quarter'!I32</f>
        <v>0</v>
      </c>
      <c r="W14" s="37">
        <f>'KPI by Quarter'!J32</f>
        <v>0</v>
      </c>
      <c r="X14" s="37">
        <f>'KPI by Quarter'!K32</f>
        <v>0</v>
      </c>
      <c r="Y14" s="37">
        <f>'KPI by Quarter'!L32</f>
        <v>0</v>
      </c>
      <c r="Z14" s="37">
        <f>'KPI by Quarter'!M32</f>
        <v>0</v>
      </c>
      <c r="AA14" s="37">
        <f>'KPI by Quarter'!N32</f>
        <v>0</v>
      </c>
      <c r="AB14" s="37">
        <f>'KPI by Quarter'!B49</f>
        <v>0</v>
      </c>
      <c r="AC14" s="37">
        <f>'KPI by Quarter'!C49</f>
        <v>0</v>
      </c>
      <c r="AD14" s="37">
        <f>'KPI by Quarter'!D49</f>
        <v>0</v>
      </c>
      <c r="AE14" s="37">
        <f>'KPI by Quarter'!E49</f>
        <v>0</v>
      </c>
      <c r="AF14" s="37">
        <f>'KPI by Quarter'!F49</f>
        <v>0</v>
      </c>
      <c r="AG14" s="37">
        <f>'KPI by Quarter'!G49</f>
        <v>0</v>
      </c>
      <c r="AH14" s="37">
        <f>'KPI by Quarter'!H49</f>
        <v>0</v>
      </c>
      <c r="AI14" s="37">
        <f>'KPI by Quarter'!I49</f>
        <v>0</v>
      </c>
      <c r="AJ14" s="37">
        <f>'KPI by Quarter'!J49</f>
        <v>0</v>
      </c>
      <c r="AK14" s="37">
        <f>'KPI by Quarter'!K49</f>
        <v>0</v>
      </c>
      <c r="AL14" s="37">
        <f>'KPI by Quarter'!L49</f>
        <v>0</v>
      </c>
      <c r="AM14" s="37">
        <f>'KPI by Quarter'!M49</f>
        <v>0</v>
      </c>
      <c r="AN14" s="37">
        <f>'KPI by Quarter'!N49</f>
        <v>0</v>
      </c>
      <c r="AO14" s="37">
        <f>'KPI by Quarter'!B66</f>
        <v>0</v>
      </c>
      <c r="AP14" s="37">
        <f>'KPI by Quarter'!C66</f>
        <v>0</v>
      </c>
      <c r="AQ14" s="37">
        <f>'KPI by Quarter'!D66</f>
        <v>0</v>
      </c>
      <c r="AR14" s="37">
        <f>'KPI by Quarter'!E66</f>
        <v>0</v>
      </c>
      <c r="AS14" s="37">
        <f>'KPI by Quarter'!F66</f>
        <v>0</v>
      </c>
      <c r="AT14" s="37">
        <f>'KPI by Quarter'!G66</f>
        <v>0</v>
      </c>
      <c r="AU14" s="37">
        <f>'KPI by Quarter'!H66</f>
        <v>0</v>
      </c>
      <c r="AV14" s="37">
        <f>'KPI by Quarter'!I66</f>
        <v>0</v>
      </c>
      <c r="AW14" s="37">
        <f>'KPI by Quarter'!J66</f>
        <v>0</v>
      </c>
      <c r="AX14" s="37">
        <f>'KPI by Quarter'!K66</f>
        <v>0</v>
      </c>
      <c r="AY14" s="37">
        <f>'KPI by Quarter'!L66</f>
        <v>0</v>
      </c>
      <c r="AZ14" s="37">
        <f>'KPI by Quarter'!M66</f>
        <v>0</v>
      </c>
      <c r="BA14" s="37">
        <f>'KPI by Quarter'!N66</f>
        <v>0</v>
      </c>
    </row>
    <row r="15" spans="1:53" ht="15.75">
      <c r="A15" s="36" t="s">
        <v>11</v>
      </c>
      <c r="B15" s="37">
        <f>'KPI by Quarter'!B16</f>
        <v>5095</v>
      </c>
      <c r="C15" s="37">
        <f>'KPI by Quarter'!C16</f>
        <v>6399</v>
      </c>
      <c r="D15" s="37">
        <f>'KPI by Quarter'!D16</f>
        <v>5490</v>
      </c>
      <c r="E15" s="37">
        <f>'KPI by Quarter'!E16</f>
        <v>5392</v>
      </c>
      <c r="F15" s="37">
        <f>'KPI by Quarter'!F16</f>
        <v>5225</v>
      </c>
      <c r="G15" s="37">
        <f>'KPI by Quarter'!G16</f>
        <v>4806</v>
      </c>
      <c r="H15" s="37">
        <f>'KPI by Quarter'!H16</f>
        <v>4560</v>
      </c>
      <c r="I15" s="37">
        <f>'KPI by Quarter'!I16</f>
        <v>4282</v>
      </c>
      <c r="J15" s="37">
        <v>4123</v>
      </c>
      <c r="K15" s="37">
        <f>'KPI by Quarter'!K16</f>
        <v>4376</v>
      </c>
      <c r="L15" s="37">
        <f>'KPI by Quarter'!L16</f>
        <v>3950</v>
      </c>
      <c r="M15" s="37">
        <f>'KPI by Quarter'!M16</f>
        <v>5167</v>
      </c>
      <c r="N15" s="37">
        <f>'KPI by Quarter'!N16</f>
        <v>4403</v>
      </c>
      <c r="O15" s="37">
        <f>'KPI by Quarter'!B33</f>
        <v>3652</v>
      </c>
      <c r="P15" s="37">
        <f>'KPI by Quarter'!C33</f>
        <v>3825</v>
      </c>
      <c r="Q15" s="37">
        <f>'KPI by Quarter'!D33</f>
        <v>5291</v>
      </c>
      <c r="R15" s="37">
        <f>'KPI by Quarter'!E33</f>
        <v>4857</v>
      </c>
      <c r="S15" s="37">
        <f>'KPI by Quarter'!F33</f>
        <v>6270</v>
      </c>
      <c r="T15" s="37">
        <f>'KPI by Quarter'!G33</f>
        <v>0</v>
      </c>
      <c r="U15" s="37">
        <f>'KPI by Quarter'!H33</f>
        <v>0</v>
      </c>
      <c r="V15" s="37">
        <f>'KPI by Quarter'!I33</f>
        <v>0</v>
      </c>
      <c r="W15" s="37">
        <f>'KPI by Quarter'!J33</f>
        <v>0</v>
      </c>
      <c r="X15" s="37">
        <f>'KPI by Quarter'!K33</f>
        <v>0</v>
      </c>
      <c r="Y15" s="37">
        <f>'KPI by Quarter'!L33</f>
        <v>0</v>
      </c>
      <c r="Z15" s="37">
        <f>'KPI by Quarter'!M33</f>
        <v>0</v>
      </c>
      <c r="AA15" s="37">
        <f>'KPI by Quarter'!N33</f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</row>
    <row r="16" spans="1:53" ht="15.75">
      <c r="A16" s="36" t="s">
        <v>12</v>
      </c>
      <c r="B16" s="37">
        <f>'KPI by Quarter'!B17</f>
        <v>1107</v>
      </c>
      <c r="C16" s="37">
        <f>'KPI by Quarter'!C17</f>
        <v>2049</v>
      </c>
      <c r="D16" s="37">
        <f>'KPI by Quarter'!D17</f>
        <v>1631</v>
      </c>
      <c r="E16" s="37">
        <f>'KPI by Quarter'!E17</f>
        <v>889</v>
      </c>
      <c r="F16" s="37">
        <f>'KPI by Quarter'!F17</f>
        <v>726</v>
      </c>
      <c r="G16" s="37">
        <f>'KPI by Quarter'!G17</f>
        <v>705</v>
      </c>
      <c r="H16" s="37">
        <f>'KPI by Quarter'!H17</f>
        <v>769</v>
      </c>
      <c r="I16" s="37">
        <f>'KPI by Quarter'!I17</f>
        <v>704</v>
      </c>
      <c r="J16" s="37">
        <f>'KPI by Quarter'!J17</f>
        <v>906</v>
      </c>
      <c r="K16" s="37">
        <f>'KPI by Quarter'!K17</f>
        <v>799</v>
      </c>
      <c r="L16" s="37">
        <f>'KPI by Quarter'!L17</f>
        <v>662</v>
      </c>
      <c r="M16" s="37">
        <f>'KPI by Quarter'!M17</f>
        <v>751</v>
      </c>
      <c r="N16" s="37">
        <f>'KPI by Quarter'!N17</f>
        <v>707</v>
      </c>
      <c r="O16" s="37">
        <f>'KPI by Quarter'!B34</f>
        <v>783</v>
      </c>
      <c r="P16" s="37">
        <f>'KPI by Quarter'!C34</f>
        <v>790</v>
      </c>
      <c r="Q16" s="37">
        <f>'KPI by Quarter'!D34</f>
        <v>614</v>
      </c>
      <c r="R16" s="37">
        <f>'KPI by Quarter'!E34</f>
        <v>891</v>
      </c>
      <c r="S16" s="37">
        <f>'KPI by Quarter'!F34</f>
        <v>1106</v>
      </c>
      <c r="T16" s="37">
        <f>'KPI by Quarter'!G34</f>
        <v>0</v>
      </c>
      <c r="U16" s="37">
        <f>'KPI by Quarter'!H34</f>
        <v>0</v>
      </c>
      <c r="V16" s="37">
        <f>'KPI by Quarter'!I34</f>
        <v>0</v>
      </c>
      <c r="W16" s="37">
        <f>'KPI by Quarter'!J34</f>
        <v>0</v>
      </c>
      <c r="X16" s="37">
        <f>'KPI by Quarter'!K34</f>
        <v>0</v>
      </c>
      <c r="Y16" s="37">
        <f>'KPI by Quarter'!L34</f>
        <v>0</v>
      </c>
      <c r="Z16" s="37">
        <f>'KPI by Quarter'!M34</f>
        <v>0</v>
      </c>
      <c r="AA16" s="37">
        <f>'KPI by Quarter'!N34</f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</row>
    <row r="18" spans="1:11" ht="15.75" customHeight="1">
      <c r="A18" s="46" t="s">
        <v>13</v>
      </c>
      <c r="B18" s="46" t="s">
        <v>14</v>
      </c>
      <c r="C18" s="46" t="s">
        <v>15</v>
      </c>
      <c r="D18" s="46" t="s">
        <v>16</v>
      </c>
      <c r="E18" s="46" t="s">
        <v>17</v>
      </c>
      <c r="G18" s="87" t="s">
        <v>18</v>
      </c>
      <c r="H18" s="88"/>
      <c r="I18" s="88"/>
      <c r="J18" s="88"/>
      <c r="K18" s="88"/>
    </row>
    <row r="19" spans="1:11" ht="15.75" customHeight="1">
      <c r="A19" s="38" t="s">
        <v>19</v>
      </c>
      <c r="B19" s="39" cm="1">
        <f t="array" ref="B19">IFERROR(_xlfn.LET(_xlpm.vals,_xlfn._xlws.FILTER(B2:BA2,(B2:BA2&lt;&gt;0)*(ISNUMBER(B2:BA2))),_xlpm.lastVal,INDEX(_xlpm.vals,COLUMNS(_xlpm.vals)),_xlpm.prevVal,INDEX(_xlpm.vals,COLUMNS(_xlpm.vals)-1),(_xlpm.lastVal-_xlpm.prevVal)/ABS(_xlpm.prevVal)),"-")</f>
        <v>-0.74042686754551157</v>
      </c>
      <c r="C19" s="40" cm="1">
        <f t="array" ref="C19">IFERROR(_xlfn.LET(_xlpm.vals,_xlfn._xlws.FILTER(B6:BA6,(B6:BA6&lt;&gt;0)*(ISNUMBER(B6:BA6))),_xlpm.lastVal,INDEX(_xlpm.vals,COLUMNS(_xlpm.vals)),_xlpm.prevVal,INDEX(_xlpm.vals,COLUMNS(_xlpm.vals)-1),(_xlpm.lastVal-_xlpm.prevVal)/ABS(_xlpm.prevVal)),"-")</f>
        <v>-0.47081712062256809</v>
      </c>
      <c r="D19" s="41" cm="1">
        <f t="array" ref="D19">IFERROR(_xlfn.LET(_xlpm.vals,_xlfn._xlws.FILTER(B10:BA10,(B10:BA10&lt;&gt;0)*(ISNUMBER(B10:BA10))),_xlpm.lastVal,INDEX(_xlpm.vals,COLUMNS(_xlpm.vals)),_xlpm.prevVal,INDEX(_xlpm.vals,COLUMNS(_xlpm.vals)-1),(_xlpm.lastVal-_xlpm.prevVal)/ABS(_xlpm.prevVal)),"-")</f>
        <v>-0.46153846153846156</v>
      </c>
      <c r="E19" s="42" cm="1">
        <f t="array" ref="E19">IFERROR(_xlfn.LET(_xlpm.vals,_xlfn._xlws.FILTER(B14:BA14,(B14:BA14&lt;&gt;0)*(ISNUMBER(B14:BA14))),_xlpm.lastVal,INDEX(_xlpm.vals,COLUMNS(_xlpm.vals)),_xlpm.prevVal,INDEX(_xlpm.vals,COLUMNS(_xlpm.vals)-1),(_xlpm.lastVal-_xlpm.prevVal)/ABS(_xlpm.prevVal)),"-")</f>
        <v>8.5</v>
      </c>
      <c r="G19" s="88"/>
      <c r="H19" s="88"/>
      <c r="I19" s="88"/>
      <c r="J19" s="88"/>
      <c r="K19" s="88"/>
    </row>
    <row r="20" spans="1:11" ht="15.75" customHeight="1">
      <c r="A20" s="38" t="s">
        <v>20</v>
      </c>
      <c r="B20" s="39" cm="1">
        <f t="array" ref="B20">IFERROR(_xlfn.LET(_xlpm.vals,_xlfn._xlws.FILTER(B3:BA3,(B3:BA3&lt;&gt;0)*(ISNUMBER(B3:BA3))),_xlpm.lastVal,INDEX(_xlpm.vals,COLUMNS(_xlpm.vals)),_xlpm.prevVal,INDEX(_xlpm.vals,COLUMNS(_xlpm.vals)-1),(_xlpm.lastVal-_xlpm.prevVal)/ABS(_xlpm.prevVal)),"-")</f>
        <v>-0.11063956963538553</v>
      </c>
      <c r="C20" s="40" cm="1">
        <f t="array" ref="C20">IFERROR(_xlfn.LET(_xlpm.vals,_xlfn._xlws.FILTER(B7:BA7,(B7:BA7&lt;&gt;0)*(ISNUMBER(B7:BA7))),_xlpm.lastVal,INDEX(_xlpm.vals,COLUMNS(_xlpm.vals)),_xlpm.prevVal,INDEX(_xlpm.vals,COLUMNS(_xlpm.vals)-1),(_xlpm.lastVal-_xlpm.prevVal)/ABS(_xlpm.prevVal)),"-")</f>
        <v>3.1384969766772242E-2</v>
      </c>
      <c r="D20" s="41" cm="1">
        <f t="array" ref="D20">IFERROR(_xlfn.LET(_xlpm.vals,_xlfn._xlws.FILTER(B11:BA11,(B11:BA11&lt;&gt;0)*(ISNUMBER(B11:BA11))),_xlpm.lastVal,INDEX(_xlpm.vals,COLUMNS(_xlpm.vals)),_xlpm.prevVal,INDEX(_xlpm.vals,COLUMNS(_xlpm.vals)-1),(_xlpm.lastVal-_xlpm.prevVal)/ABS(_xlpm.prevVal)),"-")</f>
        <v>-2.4613220815752463E-3</v>
      </c>
      <c r="E20" s="42" cm="1">
        <f t="array" ref="E20">IFERROR(_xlfn.LET(_xlpm.vals,_xlfn._xlws.FILTER(B15:BA15,(B15:BA15&lt;&gt;0)*(ISNUMBER(B15:BA15))),_xlpm.lastVal,INDEX(_xlpm.vals,COLUMNS(_xlpm.vals)),_xlpm.prevVal,INDEX(_xlpm.vals,COLUMNS(_xlpm.vals)-1),(_xlpm.lastVal-_xlpm.prevVal)/ABS(_xlpm.prevVal)),"-")</f>
        <v>0.29092032118591721</v>
      </c>
      <c r="G20" s="88"/>
      <c r="H20" s="88"/>
      <c r="I20" s="88"/>
      <c r="J20" s="88"/>
      <c r="K20" s="88"/>
    </row>
    <row r="21" spans="1:11" ht="15.75" customHeight="1">
      <c r="A21" s="38" t="s">
        <v>21</v>
      </c>
      <c r="B21" s="39" cm="1">
        <f t="array" ref="B21">IFERROR(_xlfn.LET(_xlpm.vals,_xlfn._xlws.FILTER(B4:BA4,(B4:BA4&lt;&gt;0)*(ISNUMBER(B4:BA4))),_xlpm.lastVal,INDEX(_xlpm.vals,COLUMNS(_xlpm.vals)),_xlpm.prevVal,INDEX(_xlpm.vals,COLUMNS(_xlpm.vals)-1),(_xlpm.lastVal-_xlpm.prevVal)/ABS(_xlpm.prevVal)),"-")</f>
        <v>-0.58271063275519297</v>
      </c>
      <c r="C21" s="40" cm="1">
        <f t="array" ref="C21">IFERROR(_xlfn.LET(_xlpm.vals,_xlfn._xlws.FILTER(B8:BA8,(B8:BA8&lt;&gt;0)*(ISNUMBER(B8:BA8))),_xlpm.lastVal,INDEX(_xlpm.vals,COLUMNS(_xlpm.vals)),_xlpm.prevVal,INDEX(_xlpm.vals,COLUMNS(_xlpm.vals)-1),(_xlpm.lastVal-_xlpm.prevVal)/ABS(_xlpm.prevVal)),"-")</f>
        <v>-2.5940337224383919E-2</v>
      </c>
      <c r="D21" s="41" cm="1">
        <f t="array" ref="D21">IFERROR(_xlfn.LET(_xlpm.vals,_xlfn._xlws.FILTER(B12:BA12,(B12:BA12&lt;&gt;0)*(ISNUMBER(B12:BA12))),_xlpm.lastVal,INDEX(_xlpm.vals,COLUMNS(_xlpm.vals)),_xlpm.prevVal,INDEX(_xlpm.vals,COLUMNS(_xlpm.vals)-1),(_xlpm.lastVal-_xlpm.prevVal)/ABS(_xlpm.prevVal)),"-")</f>
        <v>0.35330026707363604</v>
      </c>
      <c r="E21" s="42" cm="1">
        <f t="array" ref="E21">IFERROR(_xlfn.LET(_xlpm.vals,_xlfn._xlws.FILTER(B16:BA16,(B16:BA16&lt;&gt;0)*(ISNUMBER(B16:BA16))),_xlpm.lastVal,INDEX(_xlpm.vals,COLUMNS(_xlpm.vals)),_xlpm.prevVal,INDEX(_xlpm.vals,COLUMNS(_xlpm.vals)-1),(_xlpm.lastVal-_xlpm.prevVal)/ABS(_xlpm.prevVal)),"-")</f>
        <v>0.24130190796857465</v>
      </c>
      <c r="G21" s="88"/>
      <c r="H21" s="88"/>
      <c r="I21" s="88"/>
      <c r="J21" s="88"/>
      <c r="K21" s="88"/>
    </row>
    <row r="22" spans="1:11" ht="15.75" customHeight="1">
      <c r="A22" s="47"/>
      <c r="B22" s="48"/>
      <c r="C22" s="48"/>
      <c r="D22" s="48"/>
      <c r="E22" s="48"/>
      <c r="G22" s="88"/>
      <c r="H22" s="88"/>
      <c r="I22" s="88"/>
      <c r="J22" s="88"/>
      <c r="K22" s="88"/>
    </row>
    <row r="23" spans="1:11" ht="15.75" customHeight="1">
      <c r="A23" s="74" t="s">
        <v>22</v>
      </c>
      <c r="B23" s="75" t="s">
        <v>14</v>
      </c>
      <c r="C23" s="75" t="s">
        <v>15</v>
      </c>
      <c r="D23" s="75" t="s">
        <v>16</v>
      </c>
      <c r="E23" s="75" t="s">
        <v>17</v>
      </c>
      <c r="G23" s="88"/>
      <c r="H23" s="88"/>
      <c r="I23" s="88"/>
      <c r="J23" s="88"/>
      <c r="K23" s="88"/>
    </row>
    <row r="24" spans="1:11" ht="15.75" customHeight="1">
      <c r="A24" s="76" t="s">
        <v>19</v>
      </c>
      <c r="B24" s="77">
        <f>SUM(B2:BA2)</f>
        <v>5407</v>
      </c>
      <c r="C24" s="78">
        <f>SUM(B6:BA6)</f>
        <v>2482</v>
      </c>
      <c r="D24" s="79">
        <f>SUM(B10:BA10)</f>
        <v>1569</v>
      </c>
      <c r="E24" s="80">
        <f>SUM(B14:BA14)</f>
        <v>317</v>
      </c>
      <c r="G24" s="88"/>
      <c r="H24" s="88"/>
      <c r="I24" s="88"/>
      <c r="J24" s="88"/>
      <c r="K24" s="88"/>
    </row>
    <row r="25" spans="1:11" ht="15.75" customHeight="1">
      <c r="A25" s="76" t="s">
        <v>20</v>
      </c>
      <c r="B25" s="77">
        <f>SUMIF(B3:BA3,"&lt;&gt;-")</f>
        <v>114812</v>
      </c>
      <c r="C25" s="78">
        <f>SUMIF(B7:BA7,"&lt;&gt;-")</f>
        <v>73723</v>
      </c>
      <c r="D25" s="79">
        <f>SUMIF(B11:BA11,"&lt;&gt;-")</f>
        <v>226258</v>
      </c>
      <c r="E25" s="80">
        <f>SUMIF(B15:BA15,"&lt;&gt;-")</f>
        <v>87163</v>
      </c>
      <c r="G25" s="88"/>
      <c r="H25" s="88"/>
      <c r="I25" s="88"/>
      <c r="J25" s="88"/>
      <c r="K25" s="88"/>
    </row>
    <row r="26" spans="1:11" ht="15.75" customHeight="1">
      <c r="A26" s="76" t="s">
        <v>21</v>
      </c>
      <c r="B26" s="77">
        <f>SUMIF(B4:BA4,"&lt;&gt;-")</f>
        <v>38003</v>
      </c>
      <c r="C26" s="78">
        <f>SUMIF(B8:BA8,"&lt;&gt;-")</f>
        <v>17126</v>
      </c>
      <c r="D26" s="79">
        <f>SUMIF(B12:BA12,"&lt;&gt;-")</f>
        <v>53029</v>
      </c>
      <c r="E26" s="80">
        <f>SUMIF(B16:BA16,"&lt;&gt;-")</f>
        <v>16589</v>
      </c>
      <c r="G26" s="88"/>
      <c r="H26" s="88"/>
      <c r="I26" s="88"/>
      <c r="J26" s="88"/>
      <c r="K26" s="88"/>
    </row>
  </sheetData>
  <mergeCells count="1">
    <mergeCell ref="G18:K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7"/>
  <sheetViews>
    <sheetView topLeftCell="A9" workbookViewId="0">
      <pane xSplit="1" topLeftCell="B10" activePane="topRight" state="frozen"/>
      <selection pane="topRight" activeCell="H33" sqref="H33"/>
    </sheetView>
  </sheetViews>
  <sheetFormatPr defaultRowHeight="15"/>
  <cols>
    <col min="1" max="1" width="28.7109375" style="2" bestFit="1" customWidth="1"/>
    <col min="2" max="2" width="11" style="2" bestFit="1" customWidth="1"/>
    <col min="3" max="5" width="12.140625" style="2" bestFit="1" customWidth="1"/>
    <col min="6" max="6" width="12" style="2" bestFit="1" customWidth="1"/>
    <col min="7" max="7" width="11.7109375" style="2" bestFit="1" customWidth="1"/>
    <col min="8" max="10" width="12.85546875" style="2" bestFit="1" customWidth="1"/>
    <col min="11" max="11" width="11.42578125" style="2" bestFit="1" customWidth="1"/>
    <col min="12" max="14" width="12.5703125" style="2" bestFit="1" customWidth="1"/>
    <col min="15" max="15" width="10.140625" style="2" customWidth="1"/>
    <col min="16" max="16" width="14.28515625" style="2" customWidth="1"/>
    <col min="17" max="17" width="5.85546875" style="2" customWidth="1"/>
    <col min="18" max="19" width="9.7109375" style="2" customWidth="1"/>
    <col min="20" max="16384" width="9.140625" style="2"/>
  </cols>
  <sheetData>
    <row r="1" spans="1:22" ht="16.5" thickTop="1" thickBot="1">
      <c r="A1" s="89" t="s">
        <v>23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71" t="s">
        <v>24</v>
      </c>
    </row>
    <row r="2" spans="1:22" ht="16.5" thickTop="1">
      <c r="A2" s="11" t="s">
        <v>14</v>
      </c>
      <c r="B2" s="44" t="s">
        <v>25</v>
      </c>
      <c r="C2" s="44" t="s">
        <v>26</v>
      </c>
      <c r="D2" s="44" t="s">
        <v>27</v>
      </c>
      <c r="E2" s="44" t="s">
        <v>28</v>
      </c>
      <c r="F2" s="45" t="s">
        <v>29</v>
      </c>
      <c r="G2" s="44" t="s">
        <v>30</v>
      </c>
      <c r="H2" s="44" t="s">
        <v>31</v>
      </c>
      <c r="I2" s="44" t="s">
        <v>32</v>
      </c>
      <c r="J2" s="45" t="s">
        <v>33</v>
      </c>
      <c r="K2" s="45" t="s">
        <v>34</v>
      </c>
      <c r="L2" s="45" t="s">
        <v>35</v>
      </c>
      <c r="M2" s="45" t="s">
        <v>36</v>
      </c>
      <c r="N2" s="45" t="s">
        <v>37</v>
      </c>
      <c r="O2" s="28" t="s">
        <v>38</v>
      </c>
      <c r="P2" s="70" t="s">
        <v>39</v>
      </c>
    </row>
    <row r="3" spans="1:22">
      <c r="A3" s="10" t="s">
        <v>19</v>
      </c>
      <c r="B3" s="22">
        <f>SUMIF(Taival_WL!$A:$A,"&lt;="&amp;B2,Taival_WL!$H:$H)</f>
        <v>4</v>
      </c>
      <c r="C3" s="22">
        <f>SUMIFS(Taival_WL!$H:$H,Taival_WL!$A:$A,"&gt;"&amp;B2,Taival_WL!$A:$A,"&lt;="&amp;C2)</f>
        <v>2</v>
      </c>
      <c r="D3" s="22">
        <f>SUMIFS(Taival_WL!$H:$H,Taival_WL!$A:$A,"&gt;"&amp;C2,Taival_WL!$A:$A,"&lt;="&amp;D2)</f>
        <v>16</v>
      </c>
      <c r="E3" s="22">
        <f>SUMIFS(Taival_WL!$H:$H,Taival_WL!$A:$A,"&gt;"&amp;D2,Taival_WL!$A:$A,"&lt;="&amp;E2)</f>
        <v>0</v>
      </c>
      <c r="F3" s="23">
        <f>SUMIFS(Taival_WL!$H:$H,Taival_WL!$A:$A,"&gt;"&amp;E2,Taival_WL!$A:$A,"&lt;="&amp;F2)</f>
        <v>-2</v>
      </c>
      <c r="G3" s="22">
        <f>SUMIFS(Taival_WL!$H:$H,Taival_WL!$A:$A,"&gt;"&amp;F2,Taival_WL!$A:$A,"&lt;="&amp;G2)</f>
        <v>-6</v>
      </c>
      <c r="H3" s="22">
        <f>SUMIFS(Taival_WL!$H:$H,Taival_WL!$A:$A,"&gt;"&amp;G2,Taival_WL!$A:$A,"&lt;="&amp;H2)</f>
        <v>4</v>
      </c>
      <c r="I3" s="22">
        <f>SUMIFS(Taival_WL!$H:$H,Taival_WL!$A:$A,"&gt;"&amp;H2,Taival_WL!$A:$A,"&lt;="&amp;I2)</f>
        <v>26</v>
      </c>
      <c r="J3" s="23">
        <f>SUMIFS(Taival_WL!$H:$H,Taival_WL!$A:$A,"&gt;"&amp;I2,Taival_WL!$A:$A,"&lt;="&amp;J2)</f>
        <v>3</v>
      </c>
      <c r="K3" s="22">
        <f>SUMIFS(Taival_WL!$H:$H,Taival_WL!$A:$A,"&gt;"&amp;J2,Taival_WL!$A:$A,"&lt;="&amp;K2)</f>
        <v>7</v>
      </c>
      <c r="L3" s="22">
        <f>SUMIFS(Taival_WL!$H:$H,Taival_WL!$A:$A,"&gt;"&amp;K2,Taival_WL!$A:$A,"&lt;="&amp;L2)</f>
        <v>11</v>
      </c>
      <c r="M3" s="22">
        <f>SUMIFS(Taival_WL!$H:$H,Taival_WL!$A:$A,"&gt;"&amp;L2,Taival_WL!$A:$A,"&lt;="&amp;M2)</f>
        <v>22</v>
      </c>
      <c r="N3" s="22">
        <f>SUMIFS(Taival_WL!$H:$H,Taival_WL!$A:$A,"&gt;"&amp;M2,Taival_WL!$A:$A,"&lt;="&amp;N2)</f>
        <v>27</v>
      </c>
      <c r="O3" s="24" cm="1">
        <f t="array" ref="O3">IFERROR(_xlfn.LET(
        _xlpm.rng,B3:N3,
        _xlpm.lastCol,MAX(IF(ISNUMBER(_xlpm.rng)*(_xlpm.rng&lt;&gt;0),COLUMN(_xlpm.rng),0)),
        _xlpm.secondLastCol,MAX(IF((ISNUMBER(_xlpm.rng)*(_xlpm.rng&lt;&gt;0)*(COLUMN(_xlpm.rng)&lt;_xlpm.lastCol)),COLUMN(_xlpm.rng),0)),
        _xlpm.lastVal,INDEX(B3:N3,1,_xlpm.lastCol-1),
        _xlpm.secondLastVal,INDEX(B3:N3,1,_xlpm.secondLastCol-1),
        IF(OR(_xlpm.secondLastCol=0,_xlpm.lastCol=0),"-",(_xlpm.lastVal-_xlpm.secondLastVal)/ABS(_xlpm.secondLastVal))
    ),"-")</f>
        <v>0.22727272727272727</v>
      </c>
      <c r="P3" s="22">
        <f t="shared" ref="P3:P17" si="0">SUM(B3:N3)</f>
        <v>114</v>
      </c>
    </row>
    <row r="4" spans="1:22">
      <c r="A4" s="10" t="s">
        <v>20</v>
      </c>
      <c r="B4" s="22">
        <v>5095</v>
      </c>
      <c r="C4" s="22">
        <v>6399</v>
      </c>
      <c r="D4" s="22">
        <v>5490</v>
      </c>
      <c r="E4" s="22">
        <v>5392</v>
      </c>
      <c r="F4" s="22">
        <v>5225</v>
      </c>
      <c r="G4" s="22">
        <v>4806</v>
      </c>
      <c r="H4" s="22">
        <v>4560</v>
      </c>
      <c r="I4" s="22">
        <v>4282</v>
      </c>
      <c r="J4" s="22">
        <v>5673</v>
      </c>
      <c r="K4" s="22">
        <v>3043</v>
      </c>
      <c r="L4" s="22">
        <v>3184</v>
      </c>
      <c r="M4" s="22">
        <v>3803</v>
      </c>
      <c r="N4" s="23">
        <v>3196</v>
      </c>
      <c r="O4" s="24" cm="1">
        <f t="array" ref="O4">IFERROR(_xlfn.LET(
        _xlpm.rng,B4:N4,
        _xlpm.lastCol,MAX(IF(ISNUMBER(_xlpm.rng)*(_xlpm.rng&lt;&gt;0),COLUMN(_xlpm.rng),0)),
        _xlpm.secondLastCol,MAX(IF((ISNUMBER(_xlpm.rng)*(_xlpm.rng&lt;&gt;0)*(COLUMN(_xlpm.rng)&lt;_xlpm.lastCol)),COLUMN(_xlpm.rng),0)),
        _xlpm.lastVal,INDEX(B4:N4,1,_xlpm.lastCol-1),
        _xlpm.secondLastVal,INDEX(B4:N4,1,_xlpm.secondLastCol-1),
        IF(OR(_xlpm.secondLastCol=0,_xlpm.lastCol=0),"-",(_xlpm.lastVal-_xlpm.secondLastVal)/ABS(_xlpm.secondLastVal))
    ),"-")</f>
        <v>-0.15961083355245859</v>
      </c>
      <c r="P4" s="22">
        <f t="shared" si="0"/>
        <v>60148</v>
      </c>
    </row>
    <row r="5" spans="1:22">
      <c r="A5" s="10" t="s">
        <v>21</v>
      </c>
      <c r="B5" s="22">
        <v>1107</v>
      </c>
      <c r="C5" s="22">
        <v>2049</v>
      </c>
      <c r="D5" s="22">
        <v>1631</v>
      </c>
      <c r="E5" s="22">
        <v>889</v>
      </c>
      <c r="F5" s="22">
        <v>726</v>
      </c>
      <c r="G5" s="22">
        <v>705</v>
      </c>
      <c r="H5" s="22">
        <v>769</v>
      </c>
      <c r="I5" s="22">
        <v>704</v>
      </c>
      <c r="J5" s="22">
        <v>906</v>
      </c>
      <c r="K5" s="22">
        <v>680</v>
      </c>
      <c r="L5" s="22">
        <v>507</v>
      </c>
      <c r="M5" s="22">
        <v>618</v>
      </c>
      <c r="N5" s="23">
        <v>595</v>
      </c>
      <c r="O5" s="24" cm="1">
        <f t="array" ref="O5">IFERROR(_xlfn.LET(
        _xlpm.rng,B5:N5,
        _xlpm.lastCol,MAX(IF(ISNUMBER(_xlpm.rng)*(_xlpm.rng&lt;&gt;0),COLUMN(_xlpm.rng),0)),
        _xlpm.secondLastCol,MAX(IF((ISNUMBER(_xlpm.rng)*(_xlpm.rng&lt;&gt;0)*(COLUMN(_xlpm.rng)&lt;_xlpm.lastCol)),COLUMN(_xlpm.rng),0)),
        _xlpm.lastVal,INDEX(B5:N5,1,_xlpm.lastCol-1),
        _xlpm.secondLastVal,INDEX(B5:N5,1,_xlpm.secondLastCol-1),
        IF(OR(_xlpm.secondLastCol=0,_xlpm.lastCol=0),"-",(_xlpm.lastVal-_xlpm.secondLastVal)/ABS(_xlpm.secondLastVal))
    ),"-")</f>
        <v>-3.7216828478964403E-2</v>
      </c>
      <c r="P5" s="22">
        <f t="shared" si="0"/>
        <v>11886</v>
      </c>
    </row>
    <row r="6" spans="1:22" ht="15.75">
      <c r="A6" s="11" t="s">
        <v>40</v>
      </c>
      <c r="B6" s="44" t="s">
        <v>25</v>
      </c>
      <c r="C6" s="44" t="s">
        <v>26</v>
      </c>
      <c r="D6" s="44" t="s">
        <v>27</v>
      </c>
      <c r="E6" s="44" t="s">
        <v>28</v>
      </c>
      <c r="F6" s="45" t="s">
        <v>29</v>
      </c>
      <c r="G6" s="44" t="s">
        <v>30</v>
      </c>
      <c r="H6" s="44" t="s">
        <v>31</v>
      </c>
      <c r="I6" s="44" t="s">
        <v>32</v>
      </c>
      <c r="J6" s="45" t="s">
        <v>33</v>
      </c>
      <c r="K6" s="45" t="s">
        <v>34</v>
      </c>
      <c r="L6" s="45" t="s">
        <v>35</v>
      </c>
      <c r="M6" s="45" t="s">
        <v>36</v>
      </c>
      <c r="N6" s="45" t="s">
        <v>37</v>
      </c>
      <c r="O6" s="28" t="s">
        <v>38</v>
      </c>
      <c r="P6" s="70" t="s">
        <v>39</v>
      </c>
    </row>
    <row r="7" spans="1:22">
      <c r="A7" s="10" t="s">
        <v>19</v>
      </c>
      <c r="B7" s="22">
        <f>SUMIF('Colossus - Eternal Blight_WL'!$A:$A,"&lt;="&amp;B6,'Colossus - Eternal Blight_WL'!$H:$H)</f>
        <v>22</v>
      </c>
      <c r="C7" s="22">
        <f>SUMIFS('Colossus - Eternal Blight_WL'!$H:$H,'Colossus - Eternal Blight_WL'!$A:$A,"&gt;"&amp;B6,'Colossus - Eternal Blight_WL'!$A:$A,"&lt;="&amp;C6)</f>
        <v>22</v>
      </c>
      <c r="D7" s="22">
        <f>SUMIFS('Colossus - Eternal Blight_WL'!$H:$H,'Colossus - Eternal Blight_WL'!$A:$A,"&gt;"&amp;C6,'Colossus - Eternal Blight_WL'!$A:$A,"&lt;="&amp;D6)</f>
        <v>23</v>
      </c>
      <c r="E7" s="22">
        <f>SUMIFS('Colossus - Eternal Blight_WL'!$H:$H,'Colossus - Eternal Blight_WL'!$A:$A,"&gt;"&amp;D6,'Colossus - Eternal Blight_WL'!$A:$A,"&lt;="&amp;E6)</f>
        <v>20</v>
      </c>
      <c r="F7" s="23">
        <f>SUMIFS('Colossus - Eternal Blight_WL'!$H:$H,'Colossus - Eternal Blight_WL'!$A:$A,"&gt;"&amp;E6,'Colossus - Eternal Blight_WL'!$A:$A,"&lt;="&amp;F6)</f>
        <v>286</v>
      </c>
      <c r="G7" s="22">
        <f>SUMIFS('Colossus - Eternal Blight_WL'!$H:$H,'Colossus - Eternal Blight_WL'!$A:$A,"&gt;"&amp;F6,'Colossus - Eternal Blight_WL'!$A:$A,"&lt;="&amp;G6)</f>
        <v>90</v>
      </c>
      <c r="H7" s="22">
        <f>SUMIFS('Colossus - Eternal Blight_WL'!$H:$H,'Colossus - Eternal Blight_WL'!$A:$A,"&gt;"&amp;G6,'Colossus - Eternal Blight_WL'!$A:$A,"&lt;="&amp;H6)</f>
        <v>132</v>
      </c>
      <c r="I7" s="22">
        <f>SUMIFS('Colossus - Eternal Blight_WL'!$H:$H,'Colossus - Eternal Blight_WL'!$A:$A,"&gt;"&amp;H6,'Colossus - Eternal Blight_WL'!$A:$A,"&lt;="&amp;I6)</f>
        <v>54</v>
      </c>
      <c r="J7" s="23">
        <f>SUMIFS('Colossus - Eternal Blight_WL'!$H:$H,'Colossus - Eternal Blight_WL'!$A:$A,"&gt;"&amp;I6,'Colossus - Eternal Blight_WL'!$A:$A,"&lt;="&amp;J6)</f>
        <v>89</v>
      </c>
      <c r="K7" s="22">
        <f>SUMIFS('Colossus - Eternal Blight_WL'!$H:$H,'Colossus - Eternal Blight_WL'!$A:$A,"&gt;"&amp;J6,'Colossus - Eternal Blight_WL'!$A:$A,"&lt;="&amp;K6)</f>
        <v>69</v>
      </c>
      <c r="L7" s="22">
        <f>SUMIFS('Colossus - Eternal Blight_WL'!$H:$H,'Colossus - Eternal Blight_WL'!$A:$A,"&gt;"&amp;K6,'Colossus - Eternal Blight_WL'!$A:$A,"&lt;="&amp;L6)</f>
        <v>95</v>
      </c>
      <c r="M7" s="22">
        <f>SUMIFS('Colossus - Eternal Blight_WL'!$H:$H,'Colossus - Eternal Blight_WL'!$A:$A,"&gt;"&amp;L6,'Colossus - Eternal Blight_WL'!$A:$A,"&lt;="&amp;M6)</f>
        <v>218</v>
      </c>
      <c r="N7" s="22">
        <f>SUMIFS('Colossus - Eternal Blight_WL'!$H:$H,'Colossus - Eternal Blight_WL'!$A:$A,"&gt;"&amp;M6,'Colossus - Eternal Blight_WL'!$A:$A,"&lt;="&amp;N6)</f>
        <v>106</v>
      </c>
      <c r="O7" s="24" cm="1">
        <f t="array" ref="O7">IFERROR(_xlfn.LET(
        _xlpm.rng,B7:N7,
        _xlpm.lastCol,MAX(IF(ISNUMBER(_xlpm.rng)*(_xlpm.rng&lt;&gt;0),COLUMN(_xlpm.rng),0)),
        _xlpm.secondLastCol,MAX(IF((ISNUMBER(_xlpm.rng)*(_xlpm.rng&lt;&gt;0)*(COLUMN(_xlpm.rng)&lt;_xlpm.lastCol)),COLUMN(_xlpm.rng),0)),
        _xlpm.lastVal,INDEX(B7:N7,1,_xlpm.lastCol-1),
        _xlpm.secondLastVal,INDEX(B7:N7,1,_xlpm.secondLastCol-1),
        IF(OR(_xlpm.secondLastCol=0,_xlpm.lastCol=0),"-",(_xlpm.lastVal-_xlpm.secondLastVal)/ABS(_xlpm.secondLastVal))
    ),"-")</f>
        <v>-0.51376146788990829</v>
      </c>
      <c r="P7" s="22">
        <f t="shared" si="0"/>
        <v>1226</v>
      </c>
    </row>
    <row r="8" spans="1:22">
      <c r="A8" s="10" t="s">
        <v>20</v>
      </c>
      <c r="B8" s="22">
        <v>1568</v>
      </c>
      <c r="C8" s="22">
        <v>1879</v>
      </c>
      <c r="D8" s="22">
        <v>2210</v>
      </c>
      <c r="E8" s="22">
        <v>2066</v>
      </c>
      <c r="F8" s="23">
        <v>3259</v>
      </c>
      <c r="G8" s="22">
        <v>2320</v>
      </c>
      <c r="H8" s="22">
        <v>2324</v>
      </c>
      <c r="I8" s="22">
        <v>2304</v>
      </c>
      <c r="J8" s="23">
        <v>2222</v>
      </c>
      <c r="K8" s="22">
        <v>1967</v>
      </c>
      <c r="L8" s="22">
        <v>4553</v>
      </c>
      <c r="M8" s="22">
        <v>6425</v>
      </c>
      <c r="N8" s="23">
        <v>5374</v>
      </c>
      <c r="O8" s="24" cm="1">
        <f t="array" ref="O8">IFERROR(_xlfn.LET(
        _xlpm.rng,B8:N8,
        _xlpm.lastCol,MAX(IF(ISNUMBER(_xlpm.rng)*(_xlpm.rng&lt;&gt;0),COLUMN(_xlpm.rng),0)),
        _xlpm.secondLastCol,MAX(IF((ISNUMBER(_xlpm.rng)*(_xlpm.rng&lt;&gt;0)*(COLUMN(_xlpm.rng)&lt;_xlpm.lastCol)),COLUMN(_xlpm.rng),0)),
        _xlpm.lastVal,INDEX(B8:N8,1,_xlpm.lastCol-1),
        _xlpm.secondLastVal,INDEX(B8:N8,1,_xlpm.secondLastCol-1),
        IF(OR(_xlpm.secondLastCol=0,_xlpm.lastCol=0),"-",(_xlpm.lastVal-_xlpm.secondLastVal)/ABS(_xlpm.secondLastVal))
    ),"-")</f>
        <v>-0.16357976653696499</v>
      </c>
      <c r="P8" s="22">
        <f t="shared" si="0"/>
        <v>38471</v>
      </c>
    </row>
    <row r="9" spans="1:22">
      <c r="A9" s="10" t="s">
        <v>21</v>
      </c>
      <c r="B9" s="22">
        <v>424</v>
      </c>
      <c r="C9" s="22">
        <v>682</v>
      </c>
      <c r="D9" s="22">
        <v>591</v>
      </c>
      <c r="E9" s="22">
        <v>765</v>
      </c>
      <c r="F9" s="23">
        <v>1007</v>
      </c>
      <c r="G9" s="22">
        <v>798</v>
      </c>
      <c r="H9" s="22">
        <v>912</v>
      </c>
      <c r="I9" s="22">
        <v>832</v>
      </c>
      <c r="J9" s="23">
        <v>959</v>
      </c>
      <c r="K9" s="22">
        <v>806</v>
      </c>
      <c r="L9" s="22">
        <v>963</v>
      </c>
      <c r="M9" s="22">
        <v>1339</v>
      </c>
      <c r="N9" s="23">
        <v>1046</v>
      </c>
      <c r="O9" s="24" cm="1">
        <f t="array" ref="O9">IFERROR(_xlfn.LET(
        _xlpm.rng,B9:N9,
        _xlpm.lastCol,MAX(IF(ISNUMBER(_xlpm.rng)*(_xlpm.rng&lt;&gt;0),COLUMN(_xlpm.rng),0)),
        _xlpm.secondLastCol,MAX(IF((ISNUMBER(_xlpm.rng)*(_xlpm.rng&lt;&gt;0)*(COLUMN(_xlpm.rng)&lt;_xlpm.lastCol)),COLUMN(_xlpm.rng),0)),
        _xlpm.lastVal,INDEX(B9:N9,1,_xlpm.lastCol-1),
        _xlpm.secondLastVal,INDEX(B9:N9,1,_xlpm.secondLastCol-1),
        IF(OR(_xlpm.secondLastCol=0,_xlpm.lastCol=0),"-",(_xlpm.lastVal-_xlpm.secondLastVal)/ABS(_xlpm.secondLastVal))
    ),"-")</f>
        <v>-0.21882001493651979</v>
      </c>
      <c r="P9" s="22">
        <f t="shared" si="0"/>
        <v>11124</v>
      </c>
    </row>
    <row r="10" spans="1:22" ht="15.75">
      <c r="A10" s="11" t="s">
        <v>16</v>
      </c>
      <c r="B10" s="44" t="s">
        <v>25</v>
      </c>
      <c r="C10" s="44" t="s">
        <v>26</v>
      </c>
      <c r="D10" s="44" t="s">
        <v>27</v>
      </c>
      <c r="E10" s="44" t="s">
        <v>28</v>
      </c>
      <c r="F10" s="45" t="s">
        <v>29</v>
      </c>
      <c r="G10" s="44" t="s">
        <v>30</v>
      </c>
      <c r="H10" s="44" t="s">
        <v>31</v>
      </c>
      <c r="I10" s="44" t="s">
        <v>32</v>
      </c>
      <c r="J10" s="45" t="s">
        <v>33</v>
      </c>
      <c r="K10" s="45" t="s">
        <v>34</v>
      </c>
      <c r="L10" s="45" t="s">
        <v>35</v>
      </c>
      <c r="M10" s="45" t="s">
        <v>36</v>
      </c>
      <c r="N10" s="45" t="s">
        <v>37</v>
      </c>
      <c r="O10" s="28" t="s">
        <v>38</v>
      </c>
      <c r="P10" s="70" t="s">
        <v>39</v>
      </c>
    </row>
    <row r="11" spans="1:22">
      <c r="A11" s="10" t="s">
        <v>19</v>
      </c>
      <c r="B11" s="22">
        <f>SUMIF('Petunia''s Purgatory_WL'!$A:$A,"&lt;="&amp;B10,'Petunia''s Purgatory_WL'!$H:$H)</f>
        <v>155</v>
      </c>
      <c r="C11" s="22">
        <f>SUMIFS('Petunia''s Purgatory_WL'!$H:$H,'Petunia''s Purgatory_WL'!$A:$A,"&gt;"&amp;B10,'Petunia''s Purgatory_WL'!$A:$A,"&lt;="&amp;C10)</f>
        <v>36</v>
      </c>
      <c r="D11" s="22">
        <f>SUMIFS('Petunia''s Purgatory_WL'!$H:$H,'Petunia''s Purgatory_WL'!$A:$A,"&gt;"&amp;C10,'Petunia''s Purgatory_WL'!$A:$A,"&lt;="&amp;D10)</f>
        <v>16</v>
      </c>
      <c r="E11" s="22">
        <f>SUMIFS('Petunia''s Purgatory_WL'!$H:$H,'Petunia''s Purgatory_WL'!$A:$A,"&gt;"&amp;D10,'Petunia''s Purgatory_WL'!$A:$A,"&lt;="&amp;E10)</f>
        <v>12</v>
      </c>
      <c r="F11" s="23">
        <f>SUMIFS('Petunia''s Purgatory_WL'!$H:$H,'Petunia''s Purgatory_WL'!$A:$A,"&gt;"&amp;E10,'Petunia''s Purgatory_WL'!$A:$A,"&lt;="&amp;F10)</f>
        <v>23</v>
      </c>
      <c r="G11" s="22">
        <f>SUMIFS('Petunia''s Purgatory_WL'!$H:$H,'Petunia''s Purgatory_WL'!$A:$A,"&gt;"&amp;F10,'Petunia''s Purgatory_WL'!$A:$A,"&lt;="&amp;G10)</f>
        <v>30</v>
      </c>
      <c r="H11" s="22">
        <f>SUMIFS('Petunia''s Purgatory_WL'!$H:$H,'Petunia''s Purgatory_WL'!$A:$A,"&gt;"&amp;G10,'Petunia''s Purgatory_WL'!$A:$A,"&lt;="&amp;H10)</f>
        <v>29</v>
      </c>
      <c r="I11" s="22">
        <f>SUMIFS('Petunia''s Purgatory_WL'!$H:$H,'Petunia''s Purgatory_WL'!$A:$A,"&gt;"&amp;H10,'Petunia''s Purgatory_WL'!$A:$A,"&lt;="&amp;I10)</f>
        <v>76</v>
      </c>
      <c r="J11" s="23">
        <f>SUMIFS('Petunia''s Purgatory_WL'!$H:$H,'Petunia''s Purgatory_WL'!$A:$A,"&gt;"&amp;I10,'Petunia''s Purgatory_WL'!$A:$A,"&lt;="&amp;J10)</f>
        <v>959</v>
      </c>
      <c r="K11" s="22">
        <f>SUMIFS('Petunia''s Purgatory_WL'!$H:$H,'Petunia''s Purgatory_WL'!$A:$A,"&gt;"&amp;J10,'Petunia''s Purgatory_WL'!$A:$A,"&lt;="&amp;K10)</f>
        <v>37</v>
      </c>
      <c r="L11" s="22">
        <f>SUMIFS('Petunia''s Purgatory_WL'!$H:$H,'Petunia''s Purgatory_WL'!$A:$A,"&gt;"&amp;K10,'Petunia''s Purgatory_WL'!$A:$A,"&lt;="&amp;L10)</f>
        <v>24</v>
      </c>
      <c r="M11" s="22">
        <f>SUMIFS('Petunia''s Purgatory_WL'!$H:$H,'Petunia''s Purgatory_WL'!$A:$A,"&gt;"&amp;L10,'Petunia''s Purgatory_WL'!$A:$A,"&lt;="&amp;M10)</f>
        <v>11</v>
      </c>
      <c r="N11" s="22">
        <f>SUMIFS('Petunia''s Purgatory_WL'!$H:$H,'Petunia''s Purgatory_WL'!$A:$A,"&gt;"&amp;M10,'Petunia''s Purgatory_WL'!$A:$A,"&lt;="&amp;N10)</f>
        <v>17</v>
      </c>
      <c r="O11" s="25" cm="1">
        <f t="array" ref="O11">IFERROR(_xlfn.LET(
        _xlpm.rng,B11:N11,
        _xlpm.lastCol,MAX(IF(ISNUMBER(_xlpm.rng)*(_xlpm.rng&lt;&gt;0),COLUMN(_xlpm.rng),0)),
        _xlpm.secondLastCol,MAX(IF((ISNUMBER(_xlpm.rng)*(_xlpm.rng&lt;&gt;0)*(COLUMN(_xlpm.rng)&lt;_xlpm.lastCol)),COLUMN(_xlpm.rng),0)),
        _xlpm.lastVal,INDEX(B11:N11,1,_xlpm.lastCol-1),
        _xlpm.secondLastVal,INDEX(B11:N11,1,_xlpm.secondLastCol-1),
        IF(OR(_xlpm.secondLastCol=0,_xlpm.lastCol=0),"-",(_xlpm.lastVal-_xlpm.secondLastVal)/ABS(_xlpm.secondLastVal))
    ),"-")</f>
        <v>0.54545454545454541</v>
      </c>
      <c r="P11" s="22">
        <f t="shared" si="0"/>
        <v>1425</v>
      </c>
    </row>
    <row r="12" spans="1:22">
      <c r="A12" s="10" t="s">
        <v>20</v>
      </c>
      <c r="B12" s="22">
        <v>3279</v>
      </c>
      <c r="C12" s="22">
        <v>4700</v>
      </c>
      <c r="D12" s="22">
        <v>3386</v>
      </c>
      <c r="E12" s="22">
        <v>2992</v>
      </c>
      <c r="F12" s="23">
        <v>3010</v>
      </c>
      <c r="G12" s="22">
        <v>3278</v>
      </c>
      <c r="H12" s="22">
        <v>3624</v>
      </c>
      <c r="I12" s="22">
        <v>3748</v>
      </c>
      <c r="J12" s="23">
        <v>153264</v>
      </c>
      <c r="K12" s="22">
        <v>16940</v>
      </c>
      <c r="L12" s="22">
        <v>5171</v>
      </c>
      <c r="M12" s="22">
        <v>3906</v>
      </c>
      <c r="N12" s="23">
        <v>3455</v>
      </c>
      <c r="O12" s="25" cm="1">
        <f t="array" ref="O12">IFERROR(_xlfn.LET(
        _xlpm.rng,B12:N12,
        _xlpm.lastCol,MAX(IF(ISNUMBER(_xlpm.rng)*(_xlpm.rng&lt;&gt;0),COLUMN(_xlpm.rng),0)),
        _xlpm.secondLastCol,MAX(IF((ISNUMBER(_xlpm.rng)*(_xlpm.rng&lt;&gt;0)*(COLUMN(_xlpm.rng)&lt;_xlpm.lastCol)),COLUMN(_xlpm.rng),0)),
        _xlpm.lastVal,INDEX(B12:N12,1,_xlpm.lastCol-1),
        _xlpm.secondLastVal,INDEX(B12:N12,1,_xlpm.secondLastCol-1),
        IF(OR(_xlpm.secondLastCol=0,_xlpm.lastCol=0),"-",(_xlpm.lastVal-_xlpm.secondLastVal)/ABS(_xlpm.secondLastVal))
    ),"-")</f>
        <v>-0.11546338965693805</v>
      </c>
      <c r="P12" s="22">
        <f t="shared" si="0"/>
        <v>210753</v>
      </c>
    </row>
    <row r="13" spans="1:22">
      <c r="A13" s="10" t="s">
        <v>21</v>
      </c>
      <c r="B13" s="22">
        <v>1513</v>
      </c>
      <c r="C13" s="22">
        <v>833</v>
      </c>
      <c r="D13" s="22">
        <v>795</v>
      </c>
      <c r="E13" s="22">
        <v>690</v>
      </c>
      <c r="F13" s="23">
        <v>1056</v>
      </c>
      <c r="G13" s="22">
        <v>885</v>
      </c>
      <c r="H13" s="22">
        <v>1126</v>
      </c>
      <c r="I13" s="22">
        <v>906</v>
      </c>
      <c r="J13" s="23">
        <v>5244</v>
      </c>
      <c r="K13" s="22">
        <v>1617</v>
      </c>
      <c r="L13" s="22">
        <v>1051</v>
      </c>
      <c r="M13" s="22">
        <v>1005</v>
      </c>
      <c r="N13" s="23">
        <v>4897</v>
      </c>
      <c r="O13" s="25" cm="1">
        <f t="array" ref="O13">IFERROR(_xlfn.LET(
        _xlpm.rng,B13:N13,
        _xlpm.lastCol,MAX(IF(ISNUMBER(_xlpm.rng)*(_xlpm.rng&lt;&gt;0),COLUMN(_xlpm.rng),0)),
        _xlpm.secondLastCol,MAX(IF((ISNUMBER(_xlpm.rng)*(_xlpm.rng&lt;&gt;0)*(COLUMN(_xlpm.rng)&lt;_xlpm.lastCol)),COLUMN(_xlpm.rng),0)),
        _xlpm.lastVal,INDEX(B13:N13,1,_xlpm.lastCol-1),
        _xlpm.secondLastVal,INDEX(B13:N13,1,_xlpm.secondLastCol-1),
        IF(OR(_xlpm.secondLastCol=0,_xlpm.lastCol=0),"-",(_xlpm.lastVal-_xlpm.secondLastVal)/ABS(_xlpm.secondLastVal))
    ),"-")</f>
        <v>3.8726368159203979</v>
      </c>
      <c r="P13" s="22">
        <f t="shared" si="0"/>
        <v>21618</v>
      </c>
    </row>
    <row r="14" spans="1:22" ht="15.75">
      <c r="A14" s="11" t="s">
        <v>17</v>
      </c>
      <c r="B14" s="44" t="s">
        <v>25</v>
      </c>
      <c r="C14" s="44" t="s">
        <v>26</v>
      </c>
      <c r="D14" s="44" t="s">
        <v>27</v>
      </c>
      <c r="E14" s="44" t="s">
        <v>28</v>
      </c>
      <c r="F14" s="45" t="s">
        <v>29</v>
      </c>
      <c r="G14" s="44" t="s">
        <v>30</v>
      </c>
      <c r="H14" s="44" t="s">
        <v>31</v>
      </c>
      <c r="I14" s="44" t="s">
        <v>32</v>
      </c>
      <c r="J14" s="45" t="s">
        <v>33</v>
      </c>
      <c r="K14" s="45" t="s">
        <v>34</v>
      </c>
      <c r="L14" s="45" t="s">
        <v>35</v>
      </c>
      <c r="M14" s="45" t="s">
        <v>36</v>
      </c>
      <c r="N14" s="45" t="s">
        <v>37</v>
      </c>
      <c r="O14" s="28" t="s">
        <v>38</v>
      </c>
      <c r="P14" s="70" t="s">
        <v>39</v>
      </c>
      <c r="R14" s="87" t="s">
        <v>41</v>
      </c>
      <c r="S14" s="88"/>
      <c r="T14" s="88"/>
      <c r="U14" s="88"/>
      <c r="V14" s="88"/>
    </row>
    <row r="15" spans="1:22">
      <c r="A15" s="10" t="s">
        <v>19</v>
      </c>
      <c r="B15" s="22">
        <f>SUMIF(Fleetbreakers_WL!$A:$A,"&lt;="&amp;B14,Fleetbreakers_WL!$H:$H)</f>
        <v>49</v>
      </c>
      <c r="C15" s="22">
        <f>SUMIFS(Fleetbreakers_WL!$H:$H,Fleetbreakers_WL!$A:$A,"&gt;"&amp;B14,Fleetbreakers_WL!$A:$A,"&lt;="&amp;C14)</f>
        <v>76</v>
      </c>
      <c r="D15" s="22">
        <f>SUMIFS(Fleetbreakers_WL!$H:$H,Fleetbreakers_WL!$A:$A,"&gt;"&amp;C14,Fleetbreakers_WL!$A:$A,"&lt;="&amp;D14)</f>
        <v>138</v>
      </c>
      <c r="E15" s="22">
        <f>SUMIFS(Fleetbreakers_WL!$H:$H,Fleetbreakers_WL!$A:$A,"&gt;"&amp;D14,Fleetbreakers_WL!$A:$A,"&lt;="&amp;E14)</f>
        <v>33</v>
      </c>
      <c r="F15" s="23">
        <f>SUMIFS(Fleetbreakers_WL!$H:$H,Fleetbreakers_WL!$A:$A,"&gt;"&amp;E14,Fleetbreakers_WL!$A:$A,"&lt;="&amp;F14)</f>
        <v>-2</v>
      </c>
      <c r="G15" s="22">
        <f>SUMIFS(Fleetbreakers_WL!$H:$H,Fleetbreakers_WL!$A:$A,"&gt;"&amp;F14,Fleetbreakers_WL!$A:$A,"&lt;="&amp;G14)</f>
        <v>12</v>
      </c>
      <c r="H15" s="22">
        <f>SUMIFS(Fleetbreakers_WL!$H:$H,Fleetbreakers_WL!$A:$A,"&gt;"&amp;G14,Fleetbreakers_WL!$A:$A,"&lt;="&amp;H14)</f>
        <v>1</v>
      </c>
      <c r="I15" s="22">
        <f>SUMIFS(Fleetbreakers_WL!$H:$H,Fleetbreakers_WL!$A:$A,"&gt;"&amp;H14,Fleetbreakers_WL!$A:$A,"&lt;="&amp;I14)</f>
        <v>0</v>
      </c>
      <c r="J15" s="23">
        <f>SUMIFS(Fleetbreakers_WL!$H:$H,Fleetbreakers_WL!$A:$A,"&gt;"&amp;I14,Fleetbreakers_WL!$A:$A,"&lt;="&amp;J14)</f>
        <v>-14</v>
      </c>
      <c r="K15" s="22">
        <f>SUMIFS(Fleetbreakers_WL!$H:$H,Fleetbreakers_WL!$A:$A,"&gt;"&amp;J14,Fleetbreakers_WL!$A:$A,"&lt;="&amp;K14)</f>
        <v>5</v>
      </c>
      <c r="L15" s="22">
        <f>SUMIFS(Fleetbreakers_WL!$H:$H,Fleetbreakers_WL!$A:$A,"&gt;"&amp;K14,Fleetbreakers_WL!$A:$A,"&lt;="&amp;L14)</f>
        <v>1</v>
      </c>
      <c r="M15" s="22">
        <f>SUMIFS(Fleetbreakers_WL!$H:$H,Fleetbreakers_WL!$A:$A,"&gt;"&amp;L14,Fleetbreakers_WL!$A:$A,"&lt;="&amp;M14)</f>
        <v>-5</v>
      </c>
      <c r="N15" s="22">
        <f>SUMIFS(Fleetbreakers_WL!$H:$H,Fleetbreakers_WL!$A:$A,"&gt;"&amp;M14,Fleetbreakers_WL!$A:$A,"&lt;="&amp;N14)</f>
        <v>-2</v>
      </c>
      <c r="O15" s="25" cm="1">
        <f t="array" ref="O15">IFERROR(_xlfn.LET(
        _xlpm.rng,B15:N15,
        _xlpm.lastCol,MAX(IF(ISNUMBER(_xlpm.rng)*(_xlpm.rng&lt;&gt;0),COLUMN(_xlpm.rng),0)),
        _xlpm.secondLastCol,MAX(IF((ISNUMBER(_xlpm.rng)*(_xlpm.rng&lt;&gt;0)*(COLUMN(_xlpm.rng)&lt;_xlpm.lastCol)),COLUMN(_xlpm.rng),0)),
        _xlpm.lastVal,INDEX(B15:N15,1,_xlpm.lastCol-1),
        _xlpm.secondLastVal,INDEX(B15:N15,1,_xlpm.secondLastCol-1),
        IF(OR(_xlpm.secondLastCol=0,_xlpm.lastCol=0),"-",(_xlpm.lastVal-_xlpm.secondLastVal)/ABS(_xlpm.secondLastVal))
    ),"-")</f>
        <v>0.6</v>
      </c>
      <c r="P15" s="22">
        <f t="shared" si="0"/>
        <v>292</v>
      </c>
      <c r="R15" s="88"/>
      <c r="S15" s="88"/>
      <c r="T15" s="88"/>
      <c r="U15" s="88"/>
      <c r="V15" s="88"/>
    </row>
    <row r="16" spans="1:22">
      <c r="A16" s="10" t="s">
        <v>20</v>
      </c>
      <c r="B16" s="22">
        <v>5095</v>
      </c>
      <c r="C16" s="22">
        <v>6399</v>
      </c>
      <c r="D16" s="22">
        <v>5490</v>
      </c>
      <c r="E16" s="22">
        <v>5392</v>
      </c>
      <c r="F16" s="23">
        <v>5225</v>
      </c>
      <c r="G16" s="22">
        <v>4806</v>
      </c>
      <c r="H16" s="22">
        <v>4560</v>
      </c>
      <c r="I16" s="22">
        <v>4282</v>
      </c>
      <c r="J16" s="23">
        <v>5673</v>
      </c>
      <c r="K16" s="22">
        <v>4376</v>
      </c>
      <c r="L16" s="22">
        <v>3950</v>
      </c>
      <c r="M16" s="22">
        <v>5167</v>
      </c>
      <c r="N16" s="23">
        <v>4403</v>
      </c>
      <c r="O16" s="25" cm="1">
        <f t="array" ref="O16">IFERROR(_xlfn.LET(
        _xlpm.rng,B16:N16,
        _xlpm.lastCol,MAX(IF(ISNUMBER(_xlpm.rng)*(_xlpm.rng&lt;&gt;0),COLUMN(_xlpm.rng),0)),
        _xlpm.secondLastCol,MAX(IF((ISNUMBER(_xlpm.rng)*(_xlpm.rng&lt;&gt;0)*(COLUMN(_xlpm.rng)&lt;_xlpm.lastCol)),COLUMN(_xlpm.rng),0)),
        _xlpm.lastVal,INDEX(B16:N16,1,_xlpm.lastCol-1),
        _xlpm.secondLastVal,INDEX(B16:N16,1,_xlpm.secondLastCol-1),
        IF(OR(_xlpm.secondLastCol=0,_xlpm.lastCol=0),"-",(_xlpm.lastVal-_xlpm.secondLastVal)/ABS(_xlpm.secondLastVal))
    ),"-")</f>
        <v>-0.14786142829494872</v>
      </c>
      <c r="P16" s="22">
        <f t="shared" si="0"/>
        <v>64818</v>
      </c>
      <c r="R16" s="88"/>
      <c r="S16" s="88"/>
      <c r="T16" s="88"/>
      <c r="U16" s="88"/>
      <c r="V16" s="88"/>
    </row>
    <row r="17" spans="1:22" ht="15.75" thickBot="1">
      <c r="A17" s="10" t="s">
        <v>21</v>
      </c>
      <c r="B17" s="22">
        <v>1107</v>
      </c>
      <c r="C17" s="22">
        <v>2049</v>
      </c>
      <c r="D17" s="22">
        <v>1631</v>
      </c>
      <c r="E17" s="22">
        <v>889</v>
      </c>
      <c r="F17" s="23">
        <v>726</v>
      </c>
      <c r="G17" s="22">
        <v>705</v>
      </c>
      <c r="H17" s="22">
        <v>769</v>
      </c>
      <c r="I17" s="22">
        <v>704</v>
      </c>
      <c r="J17" s="23">
        <v>906</v>
      </c>
      <c r="K17" s="22">
        <v>799</v>
      </c>
      <c r="L17" s="22">
        <v>662</v>
      </c>
      <c r="M17" s="22">
        <v>751</v>
      </c>
      <c r="N17" s="23">
        <v>707</v>
      </c>
      <c r="O17" s="25" cm="1">
        <f t="array" ref="O17">IFERROR(_xlfn.LET(
        _xlpm.rng,B17:N17,
        _xlpm.lastCol,MAX(IF(ISNUMBER(_xlpm.rng)*(_xlpm.rng&lt;&gt;0),COLUMN(_xlpm.rng),0)),
        _xlpm.secondLastCol,MAX(IF((ISNUMBER(_xlpm.rng)*(_xlpm.rng&lt;&gt;0)*(COLUMN(_xlpm.rng)&lt;_xlpm.lastCol)),COLUMN(_xlpm.rng),0)),
        _xlpm.lastVal,INDEX(B17:N17,1,_xlpm.lastCol-1),
        _xlpm.secondLastVal,INDEX(B17:N17,1,_xlpm.secondLastCol-1),
        IF(OR(_xlpm.secondLastCol=0,_xlpm.lastCol=0),"-",(_xlpm.lastVal-_xlpm.secondLastVal)/ABS(_xlpm.secondLastVal))
    ),"-")</f>
        <v>-5.8588548601864181E-2</v>
      </c>
      <c r="P17" s="22">
        <f t="shared" si="0"/>
        <v>12405</v>
      </c>
      <c r="R17" s="88"/>
      <c r="S17" s="88"/>
      <c r="T17" s="88"/>
      <c r="U17" s="88"/>
      <c r="V17" s="88"/>
    </row>
    <row r="18" spans="1:22" ht="16.5" thickTop="1" thickBot="1">
      <c r="A18" s="90" t="s">
        <v>42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71" t="s">
        <v>24</v>
      </c>
      <c r="R18" s="88"/>
      <c r="S18" s="88"/>
      <c r="T18" s="88"/>
      <c r="U18" s="88"/>
      <c r="V18" s="88"/>
    </row>
    <row r="19" spans="1:22" ht="16.5" thickTop="1">
      <c r="A19" s="11" t="s">
        <v>14</v>
      </c>
      <c r="B19" s="44" t="s">
        <v>43</v>
      </c>
      <c r="C19" s="44" t="s">
        <v>44</v>
      </c>
      <c r="D19" s="44" t="s">
        <v>45</v>
      </c>
      <c r="E19" s="44" t="s">
        <v>46</v>
      </c>
      <c r="F19" s="45" t="s">
        <v>47</v>
      </c>
      <c r="G19" s="44" t="s">
        <v>48</v>
      </c>
      <c r="H19" s="44" t="s">
        <v>49</v>
      </c>
      <c r="I19" s="44" t="s">
        <v>50</v>
      </c>
      <c r="J19" s="45" t="s">
        <v>51</v>
      </c>
      <c r="K19" s="45" t="s">
        <v>52</v>
      </c>
      <c r="L19" s="45" t="s">
        <v>53</v>
      </c>
      <c r="M19" s="45" t="s">
        <v>54</v>
      </c>
      <c r="N19" s="45" t="s">
        <v>55</v>
      </c>
      <c r="O19" s="28" t="s">
        <v>38</v>
      </c>
      <c r="P19" s="70" t="s">
        <v>39</v>
      </c>
      <c r="Q19" s="20"/>
      <c r="R19" s="88"/>
      <c r="S19" s="88"/>
      <c r="T19" s="88"/>
      <c r="U19" s="88"/>
      <c r="V19" s="88"/>
    </row>
    <row r="20" spans="1:22">
      <c r="A20" s="10" t="s">
        <v>19</v>
      </c>
      <c r="B20" s="22">
        <f>SUMIFS(Taival_WL!$H:$H,Taival_WL!$A:$A,"&gt;"&amp;N2,Taival_WL!$A:$A,"&lt;="&amp;B19)</f>
        <v>249</v>
      </c>
      <c r="C20" s="22">
        <f>SUMIFS(Taival_WL!$H:$H,Taival_WL!$A:$A,"&gt;"&amp;B19,Taival_WL!$A:$A,"&lt;="&amp;C19)</f>
        <v>363</v>
      </c>
      <c r="D20" s="22">
        <f>SUMIFS(Taival_WL!$H:$H,Taival_WL!$A:$A,"&gt;"&amp;C19,Taival_WL!$A:$A,"&lt;="&amp;D19)</f>
        <v>668</v>
      </c>
      <c r="E20" s="22">
        <f>SUMIFS(Taival_WL!$H:$H,Taival_WL!$A:$A,"&gt;"&amp;D19,Taival_WL!$A:$A,"&lt;="&amp;E19)</f>
        <v>3186</v>
      </c>
      <c r="F20" s="22">
        <f>SUMIFS(Taival_WL!$H:$H,Taival_WL!$A:$A,"&gt;"&amp;E19,Taival_WL!$A:$A,"&lt;="&amp;F19)</f>
        <v>827</v>
      </c>
      <c r="G20" s="22">
        <f>SUMIFS(Taival_WL!$H:$H,Taival_WL!$A:$A,"&gt;"&amp;F19,Taival_WL!$A:$A,"&lt;="&amp;G19)</f>
        <v>0</v>
      </c>
      <c r="H20" s="22">
        <f>SUMIFS(Taival_WL!$H:$H,Taival_WL!$A:$A,"&gt;"&amp;G19,Taival_WL!$A:$A,"&lt;="&amp;H19)</f>
        <v>0</v>
      </c>
      <c r="I20" s="22">
        <f>SUMIFS(Taival_WL!$H:$H,Taival_WL!$A:$A,"&gt;"&amp;H19,Taival_WL!$A:$A,"&lt;="&amp;I19)</f>
        <v>0</v>
      </c>
      <c r="J20" s="22">
        <f>SUMIFS(Taival_WL!$H:$H,Taival_WL!$A:$A,"&gt;"&amp;I19,Taival_WL!$A:$A,"&lt;="&amp;J19)</f>
        <v>0</v>
      </c>
      <c r="K20" s="22">
        <f>SUMIFS(Taival_WL!$H:$H,Taival_WL!$A:$A,"&gt;"&amp;J19,Taival_WL!$A:$A,"&lt;="&amp;K19)</f>
        <v>0</v>
      </c>
      <c r="L20" s="22">
        <f>SUMIFS(Taival_WL!$H:$H,Taival_WL!$A:$A,"&gt;"&amp;K19,Taival_WL!$A:$A,"&lt;="&amp;L19)</f>
        <v>0</v>
      </c>
      <c r="M20" s="22">
        <f>SUMIFS(Taival_WL!$H:$H,Taival_WL!$A:$A,"&gt;"&amp;L19,Taival_WL!$A:$A,"&lt;="&amp;M19)</f>
        <v>0</v>
      </c>
      <c r="N20" s="22">
        <f>SUMIFS(Taival_WL!$H:$H,Taival_WL!$A:$A,"&gt;"&amp;M19,Taival_WL!$A:$A,"&lt;="&amp;N19)</f>
        <v>0</v>
      </c>
      <c r="O20" s="24" cm="1">
        <f t="array" ref="O20">IFERROR(_xlfn.LET(
        _xlpm.rng,B20:N20,
        _xlpm.lastCol,MAX(IF(ISNUMBER(_xlpm.rng)*(_xlpm.rng&lt;&gt;0),COLUMN(_xlpm.rng),0)),
        _xlpm.secondLastCol,MAX(IF((ISNUMBER(_xlpm.rng)*(_xlpm.rng&lt;&gt;0)*(COLUMN(_xlpm.rng)&lt;_xlpm.lastCol)),COLUMN(_xlpm.rng),0)),
        _xlpm.lastVal,INDEX(B20:N20,1,_xlpm.lastCol-1),
        _xlpm.secondLastVal,INDEX(B20:N20,1,_xlpm.secondLastCol-1),
        IF(OR(_xlpm.secondLastCol=0,_xlpm.lastCol=0),"-",(_xlpm.lastVal-_xlpm.secondLastVal)/ABS(_xlpm.secondLastVal))
    ),"-")</f>
        <v>-0.74042686754551157</v>
      </c>
      <c r="P20" s="22">
        <f t="shared" ref="P20:P22" si="1">SUM(B20:N20)</f>
        <v>5293</v>
      </c>
      <c r="R20" s="88"/>
      <c r="S20" s="88"/>
      <c r="T20" s="88"/>
      <c r="U20" s="88"/>
      <c r="V20" s="88"/>
    </row>
    <row r="21" spans="1:22">
      <c r="A21" s="10" t="s">
        <v>20</v>
      </c>
      <c r="B21" s="3">
        <v>3697</v>
      </c>
      <c r="C21" s="22">
        <v>4970</v>
      </c>
      <c r="D21" s="73">
        <v>14388</v>
      </c>
      <c r="E21" s="73">
        <v>16730</v>
      </c>
      <c r="F21" s="73">
        <v>14879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4" cm="1">
        <f t="array" ref="O21">IFERROR(_xlfn.LET(
        _xlpm.rng,B21:N21,
        _xlpm.lastCol,MAX(IF(ISNUMBER(_xlpm.rng)*(_xlpm.rng&lt;&gt;0),COLUMN(_xlpm.rng),0)),
        _xlpm.secondLastCol,MAX(IF((ISNUMBER(_xlpm.rng)*(_xlpm.rng&lt;&gt;0)*(COLUMN(_xlpm.rng)&lt;_xlpm.lastCol)),COLUMN(_xlpm.rng),0)),
        _xlpm.lastVal,INDEX(B21:N21,1,_xlpm.lastCol-1),
        _xlpm.secondLastVal,INDEX(B21:N21,1,_xlpm.secondLastCol-1),
        IF(OR(_xlpm.secondLastCol=0,_xlpm.lastCol=0),"-",(_xlpm.lastVal-_xlpm.secondLastVal)/ABS(_xlpm.secondLastVal))
    ),"-")</f>
        <v>-0.11063956963538553</v>
      </c>
      <c r="P21" s="22">
        <f t="shared" si="1"/>
        <v>54664</v>
      </c>
      <c r="R21" s="88"/>
      <c r="S21" s="88"/>
      <c r="T21" s="88"/>
      <c r="U21" s="88"/>
      <c r="V21" s="88"/>
    </row>
    <row r="22" spans="1:22">
      <c r="A22" s="10" t="s">
        <v>21</v>
      </c>
      <c r="B22" s="22">
        <v>1276</v>
      </c>
      <c r="C22" s="22">
        <v>2020</v>
      </c>
      <c r="D22" s="73">
        <v>2147</v>
      </c>
      <c r="E22" s="73">
        <v>14587</v>
      </c>
      <c r="F22" s="73">
        <v>6087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4" cm="1">
        <f t="array" ref="O22">IFERROR(_xlfn.LET(
        _xlpm.rng,B22:N22,
        _xlpm.lastCol,MAX(IF(ISNUMBER(_xlpm.rng)*(_xlpm.rng&lt;&gt;0),COLUMN(_xlpm.rng),0)),
        _xlpm.secondLastCol,MAX(IF((ISNUMBER(_xlpm.rng)*(_xlpm.rng&lt;&gt;0)*(COLUMN(_xlpm.rng)&lt;_xlpm.lastCol)),COLUMN(_xlpm.rng),0)),
        _xlpm.lastVal,INDEX(B22:N22,1,_xlpm.lastCol-1),
        _xlpm.secondLastVal,INDEX(B22:N22,1,_xlpm.secondLastCol-1),
        IF(OR(_xlpm.secondLastCol=0,_xlpm.lastCol=0),"-",(_xlpm.lastVal-_xlpm.secondLastVal)/ABS(_xlpm.secondLastVal))
    ),"-")</f>
        <v>-0.58271063275519297</v>
      </c>
      <c r="P22" s="22">
        <f t="shared" si="1"/>
        <v>26117</v>
      </c>
      <c r="R22" s="88"/>
      <c r="S22" s="88"/>
      <c r="T22" s="88"/>
      <c r="U22" s="88"/>
      <c r="V22" s="88"/>
    </row>
    <row r="23" spans="1:22" ht="15.75">
      <c r="A23" s="11" t="s">
        <v>40</v>
      </c>
      <c r="B23" s="44" t="s">
        <v>43</v>
      </c>
      <c r="C23" s="44" t="s">
        <v>44</v>
      </c>
      <c r="D23" s="44" t="s">
        <v>45</v>
      </c>
      <c r="E23" s="44" t="s">
        <v>46</v>
      </c>
      <c r="F23" s="45" t="s">
        <v>47</v>
      </c>
      <c r="G23" s="44" t="s">
        <v>48</v>
      </c>
      <c r="H23" s="44" t="s">
        <v>49</v>
      </c>
      <c r="I23" s="44" t="s">
        <v>50</v>
      </c>
      <c r="J23" s="45" t="s">
        <v>51</v>
      </c>
      <c r="K23" s="45" t="s">
        <v>52</v>
      </c>
      <c r="L23" s="45" t="s">
        <v>53</v>
      </c>
      <c r="M23" s="45" t="s">
        <v>54</v>
      </c>
      <c r="N23" s="45" t="s">
        <v>55</v>
      </c>
      <c r="O23" s="28" t="s">
        <v>38</v>
      </c>
      <c r="P23" s="70" t="s">
        <v>39</v>
      </c>
    </row>
    <row r="24" spans="1:22">
      <c r="A24" s="10" t="s">
        <v>19</v>
      </c>
      <c r="B24" s="22">
        <f>SUMIFS('Colossus - Eternal Blight_WL'!$H:$H,'Colossus - Eternal Blight_WL'!$A:$A,"&gt;"&amp;N6,'Colossus - Eternal Blight_WL'!$A:$A,"&lt;="&amp;B23)</f>
        <v>83</v>
      </c>
      <c r="C24" s="22">
        <f>SUMIFS('Colossus - Eternal Blight_WL'!$H:$H,'Colossus - Eternal Blight_WL'!$A:$A,"&gt;"&amp;B23,'Colossus - Eternal Blight_WL'!$A:$A,"&lt;="&amp;C23)</f>
        <v>92</v>
      </c>
      <c r="D24" s="22">
        <f>SUMIFS('Colossus - Eternal Blight_WL'!$H:$H,'Colossus - Eternal Blight_WL'!$A:$A,"&gt;"&amp;C23,'Colossus - Eternal Blight_WL'!$A:$A,"&lt;="&amp;D23)</f>
        <v>295</v>
      </c>
      <c r="E24" s="22">
        <f>SUMIFS('Colossus - Eternal Blight_WL'!$H:$H,'Colossus - Eternal Blight_WL'!$A:$A,"&gt;"&amp;D23,'Colossus - Eternal Blight_WL'!$A:$A,"&lt;="&amp;E23)</f>
        <v>514</v>
      </c>
      <c r="F24" s="22">
        <f>SUMIFS('Colossus - Eternal Blight_WL'!$H:$H,'Colossus - Eternal Blight_WL'!$A:$A,"&gt;"&amp;E23,'Colossus - Eternal Blight_WL'!$A:$A,"&lt;="&amp;F23)</f>
        <v>272</v>
      </c>
      <c r="G24" s="22">
        <f>SUMIFS('Colossus - Eternal Blight_WL'!$H:$H,'Colossus - Eternal Blight_WL'!$A:$A,"&gt;"&amp;F23,'Colossus - Eternal Blight_WL'!$A:$A,"&lt;="&amp;G23)</f>
        <v>0</v>
      </c>
      <c r="H24" s="22">
        <f>SUMIFS('Colossus - Eternal Blight_WL'!$H:$H,'Colossus - Eternal Blight_WL'!$A:$A,"&gt;"&amp;G23,'Colossus - Eternal Blight_WL'!$A:$A,"&lt;="&amp;H23)</f>
        <v>0</v>
      </c>
      <c r="I24" s="22">
        <f>SUMIFS('Colossus - Eternal Blight_WL'!$H:$H,'Colossus - Eternal Blight_WL'!$A:$A,"&gt;"&amp;H23,'Colossus - Eternal Blight_WL'!$A:$A,"&lt;="&amp;I23)</f>
        <v>0</v>
      </c>
      <c r="J24" s="22">
        <f>SUMIFS('Colossus - Eternal Blight_WL'!$H:$H,'Colossus - Eternal Blight_WL'!$A:$A,"&gt;"&amp;I23,'Colossus - Eternal Blight_WL'!$A:$A,"&lt;="&amp;J23)</f>
        <v>0</v>
      </c>
      <c r="K24" s="22">
        <f>SUMIFS('Colossus - Eternal Blight_WL'!$H:$H,'Colossus - Eternal Blight_WL'!$A:$A,"&gt;"&amp;J23,'Colossus - Eternal Blight_WL'!$A:$A,"&lt;="&amp;K23)</f>
        <v>0</v>
      </c>
      <c r="L24" s="22">
        <f>SUMIFS('Colossus - Eternal Blight_WL'!$H:$H,'Colossus - Eternal Blight_WL'!$A:$A,"&gt;"&amp;K23,'Colossus - Eternal Blight_WL'!$A:$A,"&lt;="&amp;L23)</f>
        <v>0</v>
      </c>
      <c r="M24" s="22">
        <f>SUMIFS('Colossus - Eternal Blight_WL'!$H:$H,'Colossus - Eternal Blight_WL'!$A:$A,"&gt;"&amp;L23,'Colossus - Eternal Blight_WL'!$A:$A,"&lt;="&amp;M23)</f>
        <v>0</v>
      </c>
      <c r="N24" s="22">
        <f>SUMIFS('Colossus - Eternal Blight_WL'!$H:$H,'Colossus - Eternal Blight_WL'!$A:$A,"&gt;"&amp;M23,'Colossus - Eternal Blight_WL'!$A:$A,"&lt;="&amp;N23)</f>
        <v>0</v>
      </c>
      <c r="O24" s="24" cm="1">
        <f t="array" ref="O24">IFERROR(_xlfn.LET(
        _xlpm.rng,B24:N24,
        _xlpm.lastCol,MAX(IF(ISNUMBER(_xlpm.rng)*(_xlpm.rng&lt;&gt;0),COLUMN(_xlpm.rng),0)),
        _xlpm.secondLastCol,MAX(IF((ISNUMBER(_xlpm.rng)*(_xlpm.rng&lt;&gt;0)*(COLUMN(_xlpm.rng)&lt;_xlpm.lastCol)),COLUMN(_xlpm.rng),0)),
        _xlpm.lastVal,INDEX(B24:N24,1,_xlpm.lastCol-1),
        _xlpm.secondLastVal,INDEX(B24:N24,1,_xlpm.secondLastCol-1),
        IF(OR(_xlpm.secondLastCol=0,_xlpm.lastCol=0),"-",(_xlpm.lastVal-_xlpm.secondLastVal)/ABS(_xlpm.secondLastVal))
    ),"-")</f>
        <v>-0.47081712062256809</v>
      </c>
      <c r="P24" s="22">
        <f t="shared" ref="P24:P26" si="2">SUM(B24:N24)</f>
        <v>1256</v>
      </c>
    </row>
    <row r="25" spans="1:22">
      <c r="A25" s="10" t="s">
        <v>20</v>
      </c>
      <c r="B25" s="3">
        <v>3631</v>
      </c>
      <c r="C25" s="3">
        <v>3253</v>
      </c>
      <c r="D25" s="72">
        <v>14258</v>
      </c>
      <c r="E25" s="73">
        <v>6946</v>
      </c>
      <c r="F25" s="81">
        <v>7164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4" cm="1">
        <f t="array" ref="O25">IFERROR(_xlfn.LET(
        _xlpm.rng,B25:N25,
        _xlpm.lastCol,MAX(IF(ISNUMBER(_xlpm.rng)*(_xlpm.rng&lt;&gt;0),COLUMN(_xlpm.rng),0)),
        _xlpm.secondLastCol,MAX(IF((ISNUMBER(_xlpm.rng)*(_xlpm.rng&lt;&gt;0)*(COLUMN(_xlpm.rng)&lt;_xlpm.lastCol)),COLUMN(_xlpm.rng),0)),
        _xlpm.lastVal,INDEX(B25:N25,1,_xlpm.lastCol-1),
        _xlpm.secondLastVal,INDEX(B25:N25,1,_xlpm.secondLastCol-1),
        IF(OR(_xlpm.secondLastCol=0,_xlpm.lastCol=0),"-",(_xlpm.lastVal-_xlpm.secondLastVal)/ABS(_xlpm.secondLastVal))
    ),"-")</f>
        <v>3.1384969766772242E-2</v>
      </c>
      <c r="P25" s="22">
        <f t="shared" si="2"/>
        <v>35252</v>
      </c>
    </row>
    <row r="26" spans="1:22">
      <c r="A26" s="10" t="s">
        <v>21</v>
      </c>
      <c r="B26" s="3">
        <v>887</v>
      </c>
      <c r="C26" s="3">
        <v>839</v>
      </c>
      <c r="D26" s="72">
        <v>1232</v>
      </c>
      <c r="E26" s="81">
        <v>1542</v>
      </c>
      <c r="F26" s="81">
        <v>1502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4" cm="1">
        <f t="array" ref="O26">IFERROR(_xlfn.LET(
        _xlpm.rng,B26:N26,
        _xlpm.lastCol,MAX(IF(ISNUMBER(_xlpm.rng)*(_xlpm.rng&lt;&gt;0),COLUMN(_xlpm.rng),0)),
        _xlpm.secondLastCol,MAX(IF((ISNUMBER(_xlpm.rng)*(_xlpm.rng&lt;&gt;0)*(COLUMN(_xlpm.rng)&lt;_xlpm.lastCol)),COLUMN(_xlpm.rng),0)),
        _xlpm.lastVal,INDEX(B26:N26,1,_xlpm.lastCol-1),
        _xlpm.secondLastVal,INDEX(B26:N26,1,_xlpm.secondLastCol-1),
        IF(OR(_xlpm.secondLastCol=0,_xlpm.lastCol=0),"-",(_xlpm.lastVal-_xlpm.secondLastVal)/ABS(_xlpm.secondLastVal))
    ),"-")</f>
        <v>-2.5940337224383919E-2</v>
      </c>
      <c r="P26" s="22">
        <f t="shared" si="2"/>
        <v>6002</v>
      </c>
    </row>
    <row r="27" spans="1:22" ht="15.75">
      <c r="A27" s="11" t="s">
        <v>16</v>
      </c>
      <c r="B27" s="44" t="s">
        <v>43</v>
      </c>
      <c r="C27" s="44" t="s">
        <v>44</v>
      </c>
      <c r="D27" s="44" t="s">
        <v>45</v>
      </c>
      <c r="E27" s="44" t="s">
        <v>46</v>
      </c>
      <c r="F27" s="45" t="s">
        <v>47</v>
      </c>
      <c r="G27" s="44" t="s">
        <v>48</v>
      </c>
      <c r="H27" s="44" t="s">
        <v>49</v>
      </c>
      <c r="I27" s="44" t="s">
        <v>50</v>
      </c>
      <c r="J27" s="45" t="s">
        <v>51</v>
      </c>
      <c r="K27" s="45" t="s">
        <v>52</v>
      </c>
      <c r="L27" s="45" t="s">
        <v>53</v>
      </c>
      <c r="M27" s="45" t="s">
        <v>54</v>
      </c>
      <c r="N27" s="45" t="s">
        <v>55</v>
      </c>
      <c r="O27" s="28" t="s">
        <v>38</v>
      </c>
      <c r="P27" s="70" t="s">
        <v>39</v>
      </c>
    </row>
    <row r="28" spans="1:22">
      <c r="A28" s="10" t="s">
        <v>19</v>
      </c>
      <c r="B28" s="22">
        <f>SUMIFS('Petunia''s Purgatory_WL'!$H:$H,'Petunia''s Purgatory_WL'!$A:$A,"&gt;"&amp;N10,'Petunia''s Purgatory_WL'!$A:$A,"&lt;="&amp;B27)</f>
        <v>41</v>
      </c>
      <c r="C28" s="22">
        <f>SUMIFS('Petunia''s Purgatory_WL'!$H:$H,'Petunia''s Purgatory_WL'!$A:$A,"&gt;"&amp;B27,'Petunia''s Purgatory_WL'!$A:$A,"&lt;="&amp;C27)</f>
        <v>35</v>
      </c>
      <c r="D28" s="22">
        <f>SUMIFS('Petunia''s Purgatory_WL'!$H:$H,'Petunia''s Purgatory_WL'!$A:$A,"&gt;"&amp;C27,'Petunia''s Purgatory_WL'!$A:$A,"&lt;="&amp;D27)</f>
        <v>28</v>
      </c>
      <c r="E28" s="22">
        <f>SUMIFS('Petunia''s Purgatory_WL'!$H:$H,'Petunia''s Purgatory_WL'!$A:$A,"&gt;"&amp;D27,'Petunia''s Purgatory_WL'!$A:$A,"&lt;="&amp;E27)</f>
        <v>26</v>
      </c>
      <c r="F28" s="22">
        <f>SUMIFS('Petunia''s Purgatory_WL'!$H:$H,'Petunia''s Purgatory_WL'!$A:$A,"&gt;"&amp;E27,'Petunia''s Purgatory_WL'!$A:$A,"&lt;="&amp;F27)</f>
        <v>14</v>
      </c>
      <c r="G28" s="22">
        <f>SUMIFS('Petunia''s Purgatory_WL'!$H:$H,'Petunia''s Purgatory_WL'!$A:$A,"&gt;"&amp;F27,'Petunia''s Purgatory_WL'!$A:$A,"&lt;="&amp;G27)</f>
        <v>0</v>
      </c>
      <c r="H28" s="22">
        <f>SUMIFS('Petunia''s Purgatory_WL'!$H:$H,'Petunia''s Purgatory_WL'!$A:$A,"&gt;"&amp;G27,'Petunia''s Purgatory_WL'!$A:$A,"&lt;="&amp;H27)</f>
        <v>0</v>
      </c>
      <c r="I28" s="22">
        <f>SUMIFS('Petunia''s Purgatory_WL'!$H:$H,'Petunia''s Purgatory_WL'!$A:$A,"&gt;"&amp;H27,'Petunia''s Purgatory_WL'!$A:$A,"&lt;="&amp;I27)</f>
        <v>0</v>
      </c>
      <c r="J28" s="22">
        <f>SUMIFS('Petunia''s Purgatory_WL'!$H:$H,'Petunia''s Purgatory_WL'!$A:$A,"&gt;"&amp;I27,'Petunia''s Purgatory_WL'!$A:$A,"&lt;="&amp;J27)</f>
        <v>0</v>
      </c>
      <c r="K28" s="22">
        <f>SUMIFS('Petunia''s Purgatory_WL'!$H:$H,'Petunia''s Purgatory_WL'!$A:$A,"&gt;"&amp;J27,'Petunia''s Purgatory_WL'!$A:$A,"&lt;="&amp;K27)</f>
        <v>0</v>
      </c>
      <c r="L28" s="22">
        <f>SUMIFS('Petunia''s Purgatory_WL'!$H:$H,'Petunia''s Purgatory_WL'!$A:$A,"&gt;"&amp;K27,'Petunia''s Purgatory_WL'!$A:$A,"&lt;="&amp;L27)</f>
        <v>0</v>
      </c>
      <c r="M28" s="22">
        <f>SUMIFS('Petunia''s Purgatory_WL'!$H:$H,'Petunia''s Purgatory_WL'!$A:$A,"&gt;"&amp;L27,'Petunia''s Purgatory_WL'!$A:$A,"&lt;="&amp;M27)</f>
        <v>0</v>
      </c>
      <c r="N28" s="22">
        <f>SUMIFS('Petunia''s Purgatory_WL'!$H:$H,'Petunia''s Purgatory_WL'!$A:$A,"&gt;"&amp;M27,'Petunia''s Purgatory_WL'!$A:$A,"&lt;="&amp;N27)</f>
        <v>0</v>
      </c>
      <c r="O28" s="24" cm="1">
        <f t="array" ref="O28">IFERROR(_xlfn.LET(
        _xlpm.rng,B28:N28,
        _xlpm.lastCol,MAX(IF(ISNUMBER(_xlpm.rng)*(_xlpm.rng&lt;&gt;0),COLUMN(_xlpm.rng),0)),
        _xlpm.secondLastCol,MAX(IF((ISNUMBER(_xlpm.rng)*(_xlpm.rng&lt;&gt;0)*(COLUMN(_xlpm.rng)&lt;_xlpm.lastCol)),COLUMN(_xlpm.rng),0)),
        _xlpm.lastVal,INDEX(B28:N28,1,_xlpm.lastCol-1),
        _xlpm.secondLastVal,INDEX(B28:N28,1,_xlpm.secondLastCol-1),
        IF(OR(_xlpm.secondLastCol=0,_xlpm.lastCol=0),"-",(_xlpm.lastVal-_xlpm.secondLastVal)/ABS(_xlpm.secondLastVal))
    ),"-")</f>
        <v>-0.46153846153846156</v>
      </c>
      <c r="P28" s="22">
        <f t="shared" ref="P28:P30" si="3">SUM(B28:N28)</f>
        <v>144</v>
      </c>
    </row>
    <row r="29" spans="1:22">
      <c r="A29" s="10" t="s">
        <v>20</v>
      </c>
      <c r="B29" s="3">
        <v>3364</v>
      </c>
      <c r="C29" s="3">
        <v>3463</v>
      </c>
      <c r="D29" s="72">
        <v>2997</v>
      </c>
      <c r="E29" s="73">
        <v>2844</v>
      </c>
      <c r="F29" s="73">
        <v>2837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4" cm="1">
        <f t="array" ref="O29">IFERROR(_xlfn.LET(
        _xlpm.rng,B29:N29,
        _xlpm.lastCol,MAX(IF(ISNUMBER(_xlpm.rng)*(_xlpm.rng&lt;&gt;0),COLUMN(_xlpm.rng),0)),
        _xlpm.secondLastCol,MAX(IF((ISNUMBER(_xlpm.rng)*(_xlpm.rng&lt;&gt;0)*(COLUMN(_xlpm.rng)&lt;_xlpm.lastCol)),COLUMN(_xlpm.rng),0)),
        _xlpm.lastVal,INDEX(B29:N29,1,_xlpm.lastCol-1),
        _xlpm.secondLastVal,INDEX(B29:N29,1,_xlpm.secondLastCol-1),
        IF(OR(_xlpm.secondLastCol=0,_xlpm.lastCol=0),"-",(_xlpm.lastVal-_xlpm.secondLastVal)/ABS(_xlpm.secondLastVal))
    ),"-")</f>
        <v>-2.4613220815752463E-3</v>
      </c>
      <c r="P29" s="22">
        <f t="shared" si="3"/>
        <v>15505</v>
      </c>
    </row>
    <row r="30" spans="1:22">
      <c r="A30" s="10" t="s">
        <v>21</v>
      </c>
      <c r="B30" s="3">
        <v>5782</v>
      </c>
      <c r="C30" s="3">
        <v>7678</v>
      </c>
      <c r="D30" s="72">
        <v>5615</v>
      </c>
      <c r="E30" s="73">
        <v>5242</v>
      </c>
      <c r="F30" s="73">
        <v>7094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4" cm="1">
        <f t="array" ref="O30">IFERROR(_xlfn.LET(
        _xlpm.rng,B30:N30,
        _xlpm.lastCol,MAX(IF(ISNUMBER(_xlpm.rng)*(_xlpm.rng&lt;&gt;0),COLUMN(_xlpm.rng),0)),
        _xlpm.secondLastCol,MAX(IF((ISNUMBER(_xlpm.rng)*(_xlpm.rng&lt;&gt;0)*(COLUMN(_xlpm.rng)&lt;_xlpm.lastCol)),COLUMN(_xlpm.rng),0)),
        _xlpm.lastVal,INDEX(B30:N30,1,_xlpm.lastCol-1),
        _xlpm.secondLastVal,INDEX(B30:N30,1,_xlpm.secondLastCol-1),
        IF(OR(_xlpm.secondLastCol=0,_xlpm.lastCol=0),"-",(_xlpm.lastVal-_xlpm.secondLastVal)/ABS(_xlpm.secondLastVal))
    ),"-")</f>
        <v>0.35330026707363604</v>
      </c>
      <c r="P30" s="22">
        <f t="shared" si="3"/>
        <v>31411</v>
      </c>
    </row>
    <row r="31" spans="1:22" ht="15.75">
      <c r="A31" s="11" t="s">
        <v>17</v>
      </c>
      <c r="B31" s="44" t="s">
        <v>43</v>
      </c>
      <c r="C31" s="44" t="s">
        <v>44</v>
      </c>
      <c r="D31" s="44" t="s">
        <v>45</v>
      </c>
      <c r="E31" s="44" t="s">
        <v>46</v>
      </c>
      <c r="F31" s="45" t="s">
        <v>47</v>
      </c>
      <c r="G31" s="44" t="s">
        <v>48</v>
      </c>
      <c r="H31" s="45" t="s">
        <v>56</v>
      </c>
      <c r="I31" s="45" t="s">
        <v>57</v>
      </c>
      <c r="J31" s="44" t="s">
        <v>58</v>
      </c>
      <c r="K31" s="45" t="s">
        <v>59</v>
      </c>
      <c r="L31" s="45" t="s">
        <v>60</v>
      </c>
      <c r="M31" s="45" t="s">
        <v>61</v>
      </c>
      <c r="N31" s="45" t="s">
        <v>62</v>
      </c>
      <c r="O31" s="28" t="s">
        <v>38</v>
      </c>
      <c r="P31" s="70" t="s">
        <v>39</v>
      </c>
    </row>
    <row r="32" spans="1:22">
      <c r="A32" s="10" t="s">
        <v>19</v>
      </c>
      <c r="B32" s="22">
        <f>SUMIFS(Fleetbreakers_WL!$H:$H,Fleetbreakers_WL!$A:$A,"&gt;"&amp;N14,Fleetbreakers_WL!$A:$A,"&lt;="&amp;B31)</f>
        <v>8</v>
      </c>
      <c r="C32" s="22">
        <f>SUMIFS(Fleetbreakers_WL!$H:$H,Fleetbreakers_WL!$A:$A,"&gt;"&amp;B31,Fleetbreakers_WL!$A:$A,"&lt;="&amp;C31)</f>
        <v>8</v>
      </c>
      <c r="D32" s="22">
        <f>SUMIFS(Fleetbreakers_WL!$H:$H,Fleetbreakers_WL!$A:$A,"&gt;"&amp;C31,Fleetbreakers_WL!$A:$A,"&lt;="&amp;D31)</f>
        <v>-4</v>
      </c>
      <c r="E32" s="22">
        <f>SUMIFS(Fleetbreakers_WL!$H:$H,Fleetbreakers_WL!$A:$A,"&gt;"&amp;D31,Fleetbreakers_WL!$A:$A,"&lt;="&amp;E31)</f>
        <v>-2</v>
      </c>
      <c r="F32" s="22">
        <f>SUMIFS(Fleetbreakers_WL!$H:$H,Fleetbreakers_WL!$A:$A,"&gt;"&amp;E31,Fleetbreakers_WL!$A:$A,"&lt;="&amp;F31)</f>
        <v>15</v>
      </c>
      <c r="G32" s="22">
        <f>SUMIFS(Fleetbreakers_WL!$H:$H,Fleetbreakers_WL!$A:$A,"&gt;"&amp;F31,Fleetbreakers_WL!$A:$A,"&lt;="&amp;G31)</f>
        <v>0</v>
      </c>
      <c r="H32" s="22">
        <f>SUMIFS(Fleetbreakers_WL!$H:$H,Fleetbreakers_WL!$A:$A,"&gt;"&amp;G31,Fleetbreakers_WL!$A:$A,"&lt;="&amp;H31)</f>
        <v>0</v>
      </c>
      <c r="I32" s="22">
        <f>SUMIFS(Fleetbreakers_WL!$H:$H,Fleetbreakers_WL!$A:$A,"&gt;"&amp;H31,Fleetbreakers_WL!$A:$A,"&lt;="&amp;I31)</f>
        <v>0</v>
      </c>
      <c r="J32" s="22">
        <f>SUMIFS(Fleetbreakers_WL!$H:$H,Fleetbreakers_WL!$A:$A,"&gt;"&amp;I31,Fleetbreakers_WL!$A:$A,"&lt;="&amp;J31)</f>
        <v>0</v>
      </c>
      <c r="K32" s="22">
        <f>SUMIFS(Fleetbreakers_WL!$H:$H,Fleetbreakers_WL!$A:$A,"&gt;"&amp;J31,Fleetbreakers_WL!$A:$A,"&lt;="&amp;K31)</f>
        <v>0</v>
      </c>
      <c r="L32" s="22">
        <f>SUMIFS(Fleetbreakers_WL!$H:$H,Fleetbreakers_WL!$A:$A,"&gt;"&amp;K31,Fleetbreakers_WL!$A:$A,"&lt;="&amp;L31)</f>
        <v>0</v>
      </c>
      <c r="M32" s="22">
        <f>SUMIFS(Fleetbreakers_WL!$H:$H,Fleetbreakers_WL!$A:$A,"&gt;"&amp;L31,Fleetbreakers_WL!$A:$A,"&lt;="&amp;M31)</f>
        <v>0</v>
      </c>
      <c r="N32" s="22">
        <f>SUMIFS(Fleetbreakers_WL!$H:$H,Fleetbreakers_WL!$A:$A,"&gt;"&amp;M31,Fleetbreakers_WL!$A:$A,"&lt;="&amp;N31)</f>
        <v>0</v>
      </c>
      <c r="O32" s="24" cm="1">
        <f t="array" ref="O32">IFERROR(_xlfn.LET(
        _xlpm.rng,B32:N32,
        _xlpm.lastCol,MAX(IF(ISNUMBER(_xlpm.rng)*(_xlpm.rng&lt;&gt;0),COLUMN(_xlpm.rng),0)),
        _xlpm.secondLastCol,MAX(IF((ISNUMBER(_xlpm.rng)*(_xlpm.rng&lt;&gt;0)*(COLUMN(_xlpm.rng)&lt;_xlpm.lastCol)),COLUMN(_xlpm.rng),0)),
        _xlpm.lastVal,INDEX(B32:N32,1,_xlpm.lastCol-1),
        _xlpm.secondLastVal,INDEX(B32:N32,1,_xlpm.secondLastCol-1),
        IF(OR(_xlpm.secondLastCol=0,_xlpm.lastCol=0),"-",(_xlpm.lastVal-_xlpm.secondLastVal)/ABS(_xlpm.secondLastVal))
    ),"-")</f>
        <v>8.5</v>
      </c>
      <c r="P32" s="22">
        <f t="shared" ref="P32:P34" si="4">SUM(B32:N32)</f>
        <v>25</v>
      </c>
    </row>
    <row r="33" spans="1:21">
      <c r="A33" s="10" t="s">
        <v>20</v>
      </c>
      <c r="B33" s="3">
        <v>3652</v>
      </c>
      <c r="C33" s="3">
        <v>3825</v>
      </c>
      <c r="D33" s="72">
        <v>5291</v>
      </c>
      <c r="E33" s="73">
        <v>4857</v>
      </c>
      <c r="F33" s="73">
        <v>6270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4" cm="1">
        <f t="array" ref="O33">IFERROR(_xlfn.LET(
        _xlpm.rng,B33:N33,
        _xlpm.lastCol,MAX(IF(ISNUMBER(_xlpm.rng)*(_xlpm.rng&lt;&gt;0),COLUMN(_xlpm.rng),0)),
        _xlpm.secondLastCol,MAX(IF((ISNUMBER(_xlpm.rng)*(_xlpm.rng&lt;&gt;0)*(COLUMN(_xlpm.rng)&lt;_xlpm.lastCol)),COLUMN(_xlpm.rng),0)),
        _xlpm.lastVal,INDEX(B33:N33,1,_xlpm.lastCol-1),
        _xlpm.secondLastVal,INDEX(B33:N33,1,_xlpm.secondLastCol-1),
        IF(OR(_xlpm.secondLastCol=0,_xlpm.lastCol=0),"-",(_xlpm.lastVal-_xlpm.secondLastVal)/ABS(_xlpm.secondLastVal))
    ),"-")</f>
        <v>0.29092032118591721</v>
      </c>
      <c r="P33" s="22">
        <f t="shared" si="4"/>
        <v>23895</v>
      </c>
    </row>
    <row r="34" spans="1:21" ht="15.75" thickBot="1">
      <c r="A34" s="10" t="s">
        <v>21</v>
      </c>
      <c r="B34" s="3">
        <v>783</v>
      </c>
      <c r="C34" s="3">
        <v>790</v>
      </c>
      <c r="D34" s="3">
        <v>614</v>
      </c>
      <c r="E34" s="22">
        <v>891</v>
      </c>
      <c r="F34" s="73">
        <v>1106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4" cm="1">
        <f t="array" ref="O34">IFERROR(_xlfn.LET(
        _xlpm.rng,B34:N34,
        _xlpm.lastCol,MAX(IF(ISNUMBER(_xlpm.rng)*(_xlpm.rng&lt;&gt;0),COLUMN(_xlpm.rng),0)),
        _xlpm.secondLastCol,MAX(IF((ISNUMBER(_xlpm.rng)*(_xlpm.rng&lt;&gt;0)*(COLUMN(_xlpm.rng)&lt;_xlpm.lastCol)),COLUMN(_xlpm.rng),0)),
        _xlpm.lastVal,INDEX(B34:N34,1,_xlpm.lastCol-1),
        _xlpm.secondLastVal,INDEX(B34:N34,1,_xlpm.secondLastCol-1),
        IF(OR(_xlpm.secondLastCol=0,_xlpm.lastCol=0),"-",(_xlpm.lastVal-_xlpm.secondLastVal)/ABS(_xlpm.secondLastVal))
    ),"-")</f>
        <v>0.24130190796857465</v>
      </c>
      <c r="P34" s="22">
        <f t="shared" si="4"/>
        <v>4184</v>
      </c>
    </row>
    <row r="35" spans="1:21" ht="16.5" thickTop="1" thickBot="1">
      <c r="A35" s="89" t="s">
        <v>63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71" t="s">
        <v>24</v>
      </c>
    </row>
    <row r="36" spans="1:21" ht="16.5" thickTop="1">
      <c r="A36" s="11" t="s">
        <v>14</v>
      </c>
      <c r="B36" s="44" t="s">
        <v>64</v>
      </c>
      <c r="C36" s="44" t="s">
        <v>65</v>
      </c>
      <c r="D36" s="44" t="s">
        <v>66</v>
      </c>
      <c r="E36" s="44" t="s">
        <v>67</v>
      </c>
      <c r="F36" s="45" t="s">
        <v>68</v>
      </c>
      <c r="G36" s="44" t="s">
        <v>69</v>
      </c>
      <c r="H36" s="44" t="s">
        <v>70</v>
      </c>
      <c r="I36" s="44" t="s">
        <v>71</v>
      </c>
      <c r="J36" s="45" t="s">
        <v>72</v>
      </c>
      <c r="K36" s="45" t="s">
        <v>73</v>
      </c>
      <c r="L36" s="45" t="s">
        <v>74</v>
      </c>
      <c r="M36" s="45" t="s">
        <v>75</v>
      </c>
      <c r="N36" s="45" t="s">
        <v>76</v>
      </c>
      <c r="O36" s="28" t="s">
        <v>38</v>
      </c>
      <c r="P36" s="70" t="s">
        <v>39</v>
      </c>
    </row>
    <row r="37" spans="1:21">
      <c r="A37" s="10" t="s">
        <v>19</v>
      </c>
      <c r="B37" s="22">
        <f>SUMIF(Taival_WL!$A:$A,"&lt;="&amp;B36,Taival_WL!$H:$H)-SUMIF(Taival_WL!$A:$A,"&lt;="&amp;N19,Taival_WL!$H:$H)</f>
        <v>0</v>
      </c>
      <c r="C37" s="22">
        <f>SUMIFS(Taival_WL!$H:$H,Taival_WL!$A:$A,"&gt;"&amp;B36,Taival_WL!$A:$A,"&lt;="&amp;C36)</f>
        <v>0</v>
      </c>
      <c r="D37" s="22">
        <f>SUMIFS(Taival_WL!$H:$H,Taival_WL!$A:$A,"&gt;"&amp;C36,Taival_WL!$A:$A,"&lt;="&amp;D36)</f>
        <v>0</v>
      </c>
      <c r="E37" s="22">
        <f>SUMIFS(Taival_WL!$H:$H,Taival_WL!$A:$A,"&gt;"&amp;D36,Taival_WL!$A:$A,"&lt;="&amp;E36)</f>
        <v>0</v>
      </c>
      <c r="F37" s="23">
        <f>SUMIFS(Taival_WL!$H:$H,Taival_WL!$A:$A,"&gt;"&amp;E36,Taival_WL!$A:$A,"&lt;="&amp;F36)</f>
        <v>0</v>
      </c>
      <c r="G37" s="22">
        <f>SUMIFS(Taival_WL!$H:$H,Taival_WL!$A:$A,"&gt;"&amp;F36,Taival_WL!$A:$A,"&lt;="&amp;G36)</f>
        <v>0</v>
      </c>
      <c r="H37" s="22">
        <f>SUMIFS(Taival_WL!$H:$H,Taival_WL!$A:$A,"&gt;"&amp;G36,Taival_WL!$A:$A,"&lt;="&amp;H36)</f>
        <v>0</v>
      </c>
      <c r="I37" s="22">
        <f>SUMIFS(Taival_WL!$H:$H,Taival_WL!$A:$A,"&gt;"&amp;H36,Taival_WL!$A:$A,"&lt;="&amp;I36)</f>
        <v>0</v>
      </c>
      <c r="J37" s="23">
        <f>SUMIFS(Taival_WL!$H:$H,Taival_WL!$A:$A,"&gt;"&amp;I36,Taival_WL!$A:$A,"&lt;="&amp;J36)</f>
        <v>0</v>
      </c>
      <c r="K37" s="22">
        <f>SUMIFS(Taival_WL!$H:$H,Taival_WL!$A:$A,"&gt;"&amp;J36,Taival_WL!$A:$A,"&lt;="&amp;K36)</f>
        <v>0</v>
      </c>
      <c r="L37" s="22">
        <f>SUMIFS(Taival_WL!$H:$H,Taival_WL!$A:$A,"&gt;"&amp;K36,Taival_WL!$A:$A,"&lt;="&amp;L36)</f>
        <v>0</v>
      </c>
      <c r="M37" s="22">
        <f>SUMIFS(Taival_WL!$H:$H,Taival_WL!$A:$A,"&gt;"&amp;L36,Taival_WL!$A:$A,"&lt;="&amp;M36)</f>
        <v>0</v>
      </c>
      <c r="N37" s="22">
        <f>SUMIFS(Taival_WL!$H:$H,Taival_WL!$A:$A,"&gt;"&amp;M36,Taival_WL!$A:$A,"&lt;="&amp;N36)</f>
        <v>0</v>
      </c>
      <c r="O37" s="26" t="str" cm="1">
        <f t="array" ref="O37">IFERROR(_xlfn.LET(
        _xlpm.rng,B37:N37,
        _xlpm.lastCol,MAX(IF(ISNUMBER(_xlpm.rng)*(_xlpm.rng&lt;&gt;0),COLUMN(_xlpm.rng),0)),
        _xlpm.secondLastCol,MAX(IF((ISNUMBER(_xlpm.rng)*(_xlpm.rng&lt;&gt;0)*(COLUMN(_xlpm.rng)&lt;_xlpm.lastCol)),COLUMN(_xlpm.rng),0)),
        _xlpm.lastVal,INDEX(B37:N37,1,_xlpm.lastCol-1),
        _xlpm.secondLastVal,INDEX(B37:N37,1,_xlpm.secondLastCol-1),
        IF(OR(_xlpm.secondLastCol=0,_xlpm.lastCol=0),"-",(_xlpm.lastVal-_xlpm.secondLastVal)/ABS(_xlpm.secondLastVal))
    ),"-")</f>
        <v>-</v>
      </c>
      <c r="P37" s="22">
        <f t="shared" ref="P37:P39" si="5">SUM(B37:N37)</f>
        <v>0</v>
      </c>
    </row>
    <row r="38" spans="1:21">
      <c r="A38" s="10" t="s">
        <v>20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6" t="str" cm="1">
        <f t="array" ref="O38">IFERROR(_xlfn.LET(
        _xlpm.rng,B38:N38,
        _xlpm.lastCol,MAX(IF(ISNUMBER(_xlpm.rng)*(_xlpm.rng&lt;&gt;0),COLUMN(_xlpm.rng),0)),
        _xlpm.secondLastCol,MAX(IF((ISNUMBER(_xlpm.rng)*(_xlpm.rng&lt;&gt;0)*(COLUMN(_xlpm.rng)&lt;_xlpm.lastCol)),COLUMN(_xlpm.rng),0)),
        _xlpm.lastVal,INDEX(B38:N38,1,_xlpm.lastCol-1),
        _xlpm.secondLastVal,INDEX(B38:N38,1,_xlpm.secondLastCol-1),
        IF(OR(_xlpm.secondLastCol=0,_xlpm.lastCol=0),"-",(_xlpm.lastVal-_xlpm.secondLastVal)/ABS(_xlpm.secondLastVal))
    ),"-")</f>
        <v>-</v>
      </c>
      <c r="P38" s="22">
        <f t="shared" si="5"/>
        <v>0</v>
      </c>
    </row>
    <row r="39" spans="1:21">
      <c r="A39" s="10" t="s">
        <v>21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6" t="str" cm="1">
        <f t="array" ref="O39">IFERROR(_xlfn.LET(
        _xlpm.rng,B39:N39,
        _xlpm.lastCol,MAX(IF(ISNUMBER(_xlpm.rng)*(_xlpm.rng&lt;&gt;0),COLUMN(_xlpm.rng),0)),
        _xlpm.secondLastCol,MAX(IF((ISNUMBER(_xlpm.rng)*(_xlpm.rng&lt;&gt;0)*(COLUMN(_xlpm.rng)&lt;_xlpm.lastCol)),COLUMN(_xlpm.rng),0)),
        _xlpm.lastVal,INDEX(B39:N39,1,_xlpm.lastCol-1),
        _xlpm.secondLastVal,INDEX(B39:N39,1,_xlpm.secondLastCol-1),
        IF(OR(_xlpm.secondLastCol=0,_xlpm.lastCol=0),"-",(_xlpm.lastVal-_xlpm.secondLastVal)/ABS(_xlpm.secondLastVal))
    ),"-")</f>
        <v>-</v>
      </c>
      <c r="P39" s="22">
        <f t="shared" si="5"/>
        <v>0</v>
      </c>
    </row>
    <row r="40" spans="1:21" ht="15.75">
      <c r="A40" s="11" t="s">
        <v>40</v>
      </c>
      <c r="B40" s="44" t="s">
        <v>64</v>
      </c>
      <c r="C40" s="44" t="s">
        <v>65</v>
      </c>
      <c r="D40" s="44" t="s">
        <v>66</v>
      </c>
      <c r="E40" s="44" t="s">
        <v>67</v>
      </c>
      <c r="F40" s="45" t="s">
        <v>68</v>
      </c>
      <c r="G40" s="44" t="s">
        <v>69</v>
      </c>
      <c r="H40" s="44" t="s">
        <v>70</v>
      </c>
      <c r="I40" s="44" t="s">
        <v>71</v>
      </c>
      <c r="J40" s="45" t="s">
        <v>72</v>
      </c>
      <c r="K40" s="45" t="s">
        <v>73</v>
      </c>
      <c r="L40" s="45" t="s">
        <v>74</v>
      </c>
      <c r="M40" s="45" t="s">
        <v>75</v>
      </c>
      <c r="N40" s="45" t="s">
        <v>76</v>
      </c>
      <c r="O40" s="28" t="s">
        <v>38</v>
      </c>
      <c r="P40" s="70" t="s">
        <v>39</v>
      </c>
    </row>
    <row r="41" spans="1:21" ht="15.75">
      <c r="A41" s="10" t="s">
        <v>19</v>
      </c>
      <c r="B41" s="22">
        <f>SUMIF(Taival_WL!$A:$A,"&lt;="&amp;B40,Taival_WL!$H:$H)-SUMIF(Taival_WL!$A:$A,"&lt;="&amp;N23,Taival_WL!$H:$H)</f>
        <v>0</v>
      </c>
      <c r="C41" s="22">
        <f>SUMIFS(Taival_WL!$H:$H,Taival_WL!$A:$A,"&gt;"&amp;B40,Taival_WL!$A:$A,"&lt;="&amp;C40)</f>
        <v>0</v>
      </c>
      <c r="D41" s="22">
        <f>SUMIFS(Taival_WL!$H:$H,Taival_WL!$A:$A,"&gt;"&amp;C40,Taival_WL!$A:$A,"&lt;="&amp;D40)</f>
        <v>0</v>
      </c>
      <c r="E41" s="22">
        <f>SUMIFS(Taival_WL!$H:$H,Taival_WL!$A:$A,"&gt;"&amp;D40,Taival_WL!$A:$A,"&lt;="&amp;E40)</f>
        <v>0</v>
      </c>
      <c r="F41" s="23">
        <f>SUMIFS(Taival_WL!$H:$H,Taival_WL!$A:$A,"&gt;"&amp;E40,Taival_WL!$A:$A,"&lt;="&amp;F40)</f>
        <v>0</v>
      </c>
      <c r="G41" s="22">
        <f>SUMIFS(Taival_WL!$H:$H,Taival_WL!$A:$A,"&gt;"&amp;F40,Taival_WL!$A:$A,"&lt;="&amp;G40)</f>
        <v>0</v>
      </c>
      <c r="H41" s="22">
        <f>SUMIFS(Taival_WL!$H:$H,Taival_WL!$A:$A,"&gt;"&amp;G40,Taival_WL!$A:$A,"&lt;="&amp;H40)</f>
        <v>0</v>
      </c>
      <c r="I41" s="22">
        <f>SUMIFS(Taival_WL!$H:$H,Taival_WL!$A:$A,"&gt;"&amp;H40,Taival_WL!$A:$A,"&lt;="&amp;I40)</f>
        <v>0</v>
      </c>
      <c r="J41" s="23">
        <f>SUMIFS(Taival_WL!$H:$H,Taival_WL!$A:$A,"&gt;"&amp;I40,Taival_WL!$A:$A,"&lt;="&amp;J40)</f>
        <v>0</v>
      </c>
      <c r="K41" s="22">
        <f>SUMIFS(Taival_WL!$H:$H,Taival_WL!$A:$A,"&gt;"&amp;J40,Taival_WL!$A:$A,"&lt;="&amp;K40)</f>
        <v>0</v>
      </c>
      <c r="L41" s="22">
        <f>SUMIFS(Taival_WL!$H:$H,Taival_WL!$A:$A,"&gt;"&amp;K40,Taival_WL!$A:$A,"&lt;="&amp;L40)</f>
        <v>0</v>
      </c>
      <c r="M41" s="22">
        <f>SUMIFS(Taival_WL!$H:$H,Taival_WL!$A:$A,"&gt;"&amp;L40,Taival_WL!$A:$A,"&lt;="&amp;M40)</f>
        <v>0</v>
      </c>
      <c r="N41" s="22">
        <f>SUMIFS(Taival_WL!$H:$H,Taival_WL!$A:$A,"&gt;"&amp;M40,Taival_WL!$A:$A,"&lt;="&amp;N40)</f>
        <v>0</v>
      </c>
      <c r="O41" s="27" t="str" cm="1">
        <f t="array" ref="O41">IFERROR(_xlfn.LET(
        _xlpm.rng,B41:N41,
        _xlpm.lastCol,MAX(IF(ISNUMBER(_xlpm.rng)*(_xlpm.rng&lt;&gt;0),COLUMN(_xlpm.rng),0)),
        _xlpm.secondLastCol,MAX(IF((ISNUMBER(_xlpm.rng)*(_xlpm.rng&lt;&gt;0)*(COLUMN(_xlpm.rng)&lt;_xlpm.lastCol)),COLUMN(_xlpm.rng),0)),
        _xlpm.lastVal,INDEX(B41:N41,1,_xlpm.lastCol-1),
        _xlpm.secondLastVal,INDEX(B41:N41,1,_xlpm.secondLastCol-1),
        IF(OR(_xlpm.secondLastCol=0,_xlpm.lastCol=0),"-",(_xlpm.lastVal-_xlpm.secondLastVal)/ABS(_xlpm.secondLastVal))
    ),"-")</f>
        <v>-</v>
      </c>
      <c r="P41" s="22">
        <f t="shared" ref="P41:P43" si="6">SUM(B41:N41)</f>
        <v>0</v>
      </c>
      <c r="Q41" s="21"/>
      <c r="R41" s="21"/>
      <c r="S41" s="21"/>
      <c r="T41" s="21"/>
      <c r="U41" s="21"/>
    </row>
    <row r="42" spans="1:21">
      <c r="A42" s="10" t="s">
        <v>20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6" t="str" cm="1">
        <f t="array" ref="O42">IFERROR(_xlfn.LET(
        _xlpm.rng,B42:N42,
        _xlpm.lastCol,MAX(IF(ISNUMBER(_xlpm.rng)*(_xlpm.rng&lt;&gt;0),COLUMN(_xlpm.rng),0)),
        _xlpm.secondLastCol,MAX(IF((ISNUMBER(_xlpm.rng)*(_xlpm.rng&lt;&gt;0)*(COLUMN(_xlpm.rng)&lt;_xlpm.lastCol)),COLUMN(_xlpm.rng),0)),
        _xlpm.lastVal,INDEX(B42:N42,1,_xlpm.lastCol-1),
        _xlpm.secondLastVal,INDEX(B42:N42,1,_xlpm.secondLastCol-1),
        IF(OR(_xlpm.secondLastCol=0,_xlpm.lastCol=0),"-",(_xlpm.lastVal-_xlpm.secondLastVal)/ABS(_xlpm.secondLastVal))
    ),"-")</f>
        <v>-</v>
      </c>
      <c r="P42" s="22">
        <f t="shared" si="6"/>
        <v>0</v>
      </c>
    </row>
    <row r="43" spans="1:21">
      <c r="A43" s="10" t="s">
        <v>21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6" t="str" cm="1">
        <f t="array" ref="O43">IFERROR(_xlfn.LET(
        _xlpm.rng,B43:N43,
        _xlpm.lastCol,MAX(IF(ISNUMBER(_xlpm.rng)*(_xlpm.rng&lt;&gt;0),COLUMN(_xlpm.rng),0)),
        _xlpm.secondLastCol,MAX(IF((ISNUMBER(_xlpm.rng)*(_xlpm.rng&lt;&gt;0)*(COLUMN(_xlpm.rng)&lt;_xlpm.lastCol)),COLUMN(_xlpm.rng),0)),
        _xlpm.lastVal,INDEX(B43:N43,1,_xlpm.lastCol-1),
        _xlpm.secondLastVal,INDEX(B43:N43,1,_xlpm.secondLastCol-1),
        IF(OR(_xlpm.secondLastCol=0,_xlpm.lastCol=0),"-",(_xlpm.lastVal-_xlpm.secondLastVal)/ABS(_xlpm.secondLastVal))
    ),"-")</f>
        <v>-</v>
      </c>
      <c r="P43" s="22">
        <f t="shared" si="6"/>
        <v>0</v>
      </c>
    </row>
    <row r="44" spans="1:21" ht="15.75">
      <c r="A44" s="11" t="s">
        <v>16</v>
      </c>
      <c r="B44" s="44" t="s">
        <v>64</v>
      </c>
      <c r="C44" s="44" t="s">
        <v>65</v>
      </c>
      <c r="D44" s="44" t="s">
        <v>66</v>
      </c>
      <c r="E44" s="44" t="s">
        <v>67</v>
      </c>
      <c r="F44" s="45" t="s">
        <v>68</v>
      </c>
      <c r="G44" s="44" t="s">
        <v>69</v>
      </c>
      <c r="H44" s="44" t="s">
        <v>70</v>
      </c>
      <c r="I44" s="44" t="s">
        <v>71</v>
      </c>
      <c r="J44" s="45" t="s">
        <v>72</v>
      </c>
      <c r="K44" s="45" t="s">
        <v>73</v>
      </c>
      <c r="L44" s="45" t="s">
        <v>74</v>
      </c>
      <c r="M44" s="45" t="s">
        <v>75</v>
      </c>
      <c r="N44" s="45" t="s">
        <v>76</v>
      </c>
      <c r="O44" s="28" t="s">
        <v>38</v>
      </c>
      <c r="P44" s="70" t="s">
        <v>39</v>
      </c>
    </row>
    <row r="45" spans="1:21">
      <c r="A45" s="10" t="s">
        <v>19</v>
      </c>
      <c r="B45" s="22">
        <f>SUMIF(Taival_WL!$A:$A,"&lt;="&amp;B44,Taival_WL!$H:$H)-SUMIF(Taival_WL!$A:$A,"&lt;="&amp;N27,Taival_WL!$H:$H)</f>
        <v>0</v>
      </c>
      <c r="C45" s="22">
        <f>SUMIFS(Taival_WL!$H:$H,Taival_WL!$A:$A,"&gt;"&amp;B44,Taival_WL!$A:$A,"&lt;="&amp;C44)</f>
        <v>0</v>
      </c>
      <c r="D45" s="22">
        <f>SUMIFS(Taival_WL!$H:$H,Taival_WL!$A:$A,"&gt;"&amp;C44,Taival_WL!$A:$A,"&lt;="&amp;D44)</f>
        <v>0</v>
      </c>
      <c r="E45" s="22">
        <f>SUMIFS(Taival_WL!$H:$H,Taival_WL!$A:$A,"&gt;"&amp;D44,Taival_WL!$A:$A,"&lt;="&amp;E44)</f>
        <v>0</v>
      </c>
      <c r="F45" s="23">
        <f>SUMIFS(Taival_WL!$H:$H,Taival_WL!$A:$A,"&gt;"&amp;E44,Taival_WL!$A:$A,"&lt;="&amp;F44)</f>
        <v>0</v>
      </c>
      <c r="G45" s="22">
        <f>SUMIFS(Taival_WL!$H:$H,Taival_WL!$A:$A,"&gt;"&amp;F44,Taival_WL!$A:$A,"&lt;="&amp;G44)</f>
        <v>0</v>
      </c>
      <c r="H45" s="22">
        <f>SUMIFS(Taival_WL!$H:$H,Taival_WL!$A:$A,"&gt;"&amp;G44,Taival_WL!$A:$A,"&lt;="&amp;H44)</f>
        <v>0</v>
      </c>
      <c r="I45" s="22">
        <f>SUMIFS(Taival_WL!$H:$H,Taival_WL!$A:$A,"&gt;"&amp;H44,Taival_WL!$A:$A,"&lt;="&amp;I44)</f>
        <v>0</v>
      </c>
      <c r="J45" s="23">
        <f>SUMIFS(Taival_WL!$H:$H,Taival_WL!$A:$A,"&gt;"&amp;I44,Taival_WL!$A:$A,"&lt;="&amp;J44)</f>
        <v>0</v>
      </c>
      <c r="K45" s="22">
        <f>SUMIFS(Taival_WL!$H:$H,Taival_WL!$A:$A,"&gt;"&amp;J44,Taival_WL!$A:$A,"&lt;="&amp;K44)</f>
        <v>0</v>
      </c>
      <c r="L45" s="22">
        <f>SUMIFS(Taival_WL!$H:$H,Taival_WL!$A:$A,"&gt;"&amp;K44,Taival_WL!$A:$A,"&lt;="&amp;L44)</f>
        <v>0</v>
      </c>
      <c r="M45" s="22">
        <f>SUMIFS(Taival_WL!$H:$H,Taival_WL!$A:$A,"&gt;"&amp;L44,Taival_WL!$A:$A,"&lt;="&amp;M44)</f>
        <v>0</v>
      </c>
      <c r="N45" s="22">
        <f>SUMIFS(Taival_WL!$H:$H,Taival_WL!$A:$A,"&gt;"&amp;M44,Taival_WL!$A:$A,"&lt;="&amp;N44)</f>
        <v>0</v>
      </c>
      <c r="O45" s="26" t="str" cm="1">
        <f t="array" ref="O45">IFERROR(_xlfn.LET(
        _xlpm.rng,B45:N45,
        _xlpm.lastCol,MAX(IF(ISNUMBER(_xlpm.rng)*(_xlpm.rng&lt;&gt;0),COLUMN(_xlpm.rng),0)),
        _xlpm.secondLastCol,MAX(IF((ISNUMBER(_xlpm.rng)*(_xlpm.rng&lt;&gt;0)*(COLUMN(_xlpm.rng)&lt;_xlpm.lastCol)),COLUMN(_xlpm.rng),0)),
        _xlpm.lastVal,INDEX(B45:N45,1,_xlpm.lastCol-1),
        _xlpm.secondLastVal,INDEX(B45:N45,1,_xlpm.secondLastCol-1),
        IF(OR(_xlpm.secondLastCol=0,_xlpm.lastCol=0),"-",(_xlpm.lastVal-_xlpm.secondLastVal)/ABS(_xlpm.secondLastVal))
    ),"-")</f>
        <v>-</v>
      </c>
      <c r="P45" s="22">
        <f t="shared" ref="P45:P47" si="7">SUM(B45:N45)</f>
        <v>0</v>
      </c>
    </row>
    <row r="46" spans="1:21">
      <c r="A46" s="10" t="s">
        <v>20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6" t="str" cm="1">
        <f t="array" ref="O46">IFERROR(_xlfn.LET(
        _xlpm.rng,B46:N46,
        _xlpm.lastCol,MAX(IF(ISNUMBER(_xlpm.rng)*(_xlpm.rng&lt;&gt;0),COLUMN(_xlpm.rng),0)),
        _xlpm.secondLastCol,MAX(IF((ISNUMBER(_xlpm.rng)*(_xlpm.rng&lt;&gt;0)*(COLUMN(_xlpm.rng)&lt;_xlpm.lastCol)),COLUMN(_xlpm.rng),0)),
        _xlpm.lastVal,INDEX(B46:N46,1,_xlpm.lastCol-1),
        _xlpm.secondLastVal,INDEX(B46:N46,1,_xlpm.secondLastCol-1),
        IF(OR(_xlpm.secondLastCol=0,_xlpm.lastCol=0),"-",(_xlpm.lastVal-_xlpm.secondLastVal)/ABS(_xlpm.secondLastVal))
    ),"-")</f>
        <v>-</v>
      </c>
      <c r="P46" s="22">
        <f t="shared" si="7"/>
        <v>0</v>
      </c>
    </row>
    <row r="47" spans="1:21">
      <c r="A47" s="10" t="s">
        <v>21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6" t="str" cm="1">
        <f t="array" ref="O47">IFERROR(_xlfn.LET(
        _xlpm.rng,B47:N47,
        _xlpm.lastCol,MAX(IF(ISNUMBER(_xlpm.rng)*(_xlpm.rng&lt;&gt;0),COLUMN(_xlpm.rng),0)),
        _xlpm.secondLastCol,MAX(IF((ISNUMBER(_xlpm.rng)*(_xlpm.rng&lt;&gt;0)*(COLUMN(_xlpm.rng)&lt;_xlpm.lastCol)),COLUMN(_xlpm.rng),0)),
        _xlpm.lastVal,INDEX(B47:N47,1,_xlpm.lastCol-1),
        _xlpm.secondLastVal,INDEX(B47:N47,1,_xlpm.secondLastCol-1),
        IF(OR(_xlpm.secondLastCol=0,_xlpm.lastCol=0),"-",(_xlpm.lastVal-_xlpm.secondLastVal)/ABS(_xlpm.secondLastVal))
    ),"-")</f>
        <v>-</v>
      </c>
      <c r="P47" s="22">
        <f t="shared" si="7"/>
        <v>0</v>
      </c>
    </row>
    <row r="48" spans="1:21" ht="15.75">
      <c r="A48" s="11" t="s">
        <v>17</v>
      </c>
      <c r="B48" s="44" t="s">
        <v>64</v>
      </c>
      <c r="C48" s="44" t="s">
        <v>65</v>
      </c>
      <c r="D48" s="44" t="s">
        <v>66</v>
      </c>
      <c r="E48" s="44" t="s">
        <v>67</v>
      </c>
      <c r="F48" s="45" t="s">
        <v>68</v>
      </c>
      <c r="G48" s="44" t="s">
        <v>69</v>
      </c>
      <c r="H48" s="44" t="s">
        <v>70</v>
      </c>
      <c r="I48" s="44" t="s">
        <v>71</v>
      </c>
      <c r="J48" s="45" t="s">
        <v>72</v>
      </c>
      <c r="K48" s="45" t="s">
        <v>73</v>
      </c>
      <c r="L48" s="45" t="s">
        <v>74</v>
      </c>
      <c r="M48" s="45" t="s">
        <v>75</v>
      </c>
      <c r="N48" s="45" t="s">
        <v>76</v>
      </c>
      <c r="O48" s="28" t="s">
        <v>38</v>
      </c>
      <c r="P48" s="70" t="s">
        <v>39</v>
      </c>
    </row>
    <row r="49" spans="1:16">
      <c r="A49" s="10" t="s">
        <v>19</v>
      </c>
      <c r="B49" s="22">
        <f>SUMIF(Taival_WL!$A:$A,"&lt;="&amp;B48,Taival_WL!$H:$H)-SUMIF(Taival_WL!$A:$A,"&lt;="&amp;N31,Taival_WL!$H:$H)</f>
        <v>0</v>
      </c>
      <c r="C49" s="22">
        <f>SUMIFS(Taival_WL!$H:$H,Taival_WL!$A:$A,"&gt;"&amp;B48,Taival_WL!$A:$A,"&lt;="&amp;C48)</f>
        <v>0</v>
      </c>
      <c r="D49" s="22">
        <f>SUMIFS(Taival_WL!$H:$H,Taival_WL!$A:$A,"&gt;"&amp;C48,Taival_WL!$A:$A,"&lt;="&amp;D48)</f>
        <v>0</v>
      </c>
      <c r="E49" s="22">
        <f>SUMIFS(Taival_WL!$H:$H,Taival_WL!$A:$A,"&gt;"&amp;D48,Taival_WL!$A:$A,"&lt;="&amp;E48)</f>
        <v>0</v>
      </c>
      <c r="F49" s="23">
        <f>SUMIFS(Taival_WL!$H:$H,Taival_WL!$A:$A,"&gt;"&amp;E48,Taival_WL!$A:$A,"&lt;="&amp;F48)</f>
        <v>0</v>
      </c>
      <c r="G49" s="22">
        <f>SUMIFS(Taival_WL!$H:$H,Taival_WL!$A:$A,"&gt;"&amp;F48,Taival_WL!$A:$A,"&lt;="&amp;G48)</f>
        <v>0</v>
      </c>
      <c r="H49" s="22">
        <f>SUMIFS(Taival_WL!$H:$H,Taival_WL!$A:$A,"&gt;"&amp;G48,Taival_WL!$A:$A,"&lt;="&amp;H48)</f>
        <v>0</v>
      </c>
      <c r="I49" s="22">
        <f>SUMIFS(Taival_WL!$H:$H,Taival_WL!$A:$A,"&gt;"&amp;H48,Taival_WL!$A:$A,"&lt;="&amp;I48)</f>
        <v>0</v>
      </c>
      <c r="J49" s="23">
        <f>SUMIFS(Taival_WL!$H:$H,Taival_WL!$A:$A,"&gt;"&amp;I48,Taival_WL!$A:$A,"&lt;="&amp;J48)</f>
        <v>0</v>
      </c>
      <c r="K49" s="22">
        <f>SUMIFS(Taival_WL!$H:$H,Taival_WL!$A:$A,"&gt;"&amp;J48,Taival_WL!$A:$A,"&lt;="&amp;K48)</f>
        <v>0</v>
      </c>
      <c r="L49" s="22">
        <f>SUMIFS(Taival_WL!$H:$H,Taival_WL!$A:$A,"&gt;"&amp;K48,Taival_WL!$A:$A,"&lt;="&amp;L48)</f>
        <v>0</v>
      </c>
      <c r="M49" s="22">
        <f>SUMIFS(Taival_WL!$H:$H,Taival_WL!$A:$A,"&gt;"&amp;L48,Taival_WL!$A:$A,"&lt;="&amp;M48)</f>
        <v>0</v>
      </c>
      <c r="N49" s="22">
        <f>SUMIFS(Taival_WL!$H:$H,Taival_WL!$A:$A,"&gt;"&amp;M48,Taival_WL!$A:$A,"&lt;="&amp;N48)</f>
        <v>0</v>
      </c>
      <c r="O49" s="26" t="str" cm="1">
        <f t="array" ref="O49">IFERROR(_xlfn.LET(
        _xlpm.rng,B49:N49,
        _xlpm.lastCol,MAX(IF(ISNUMBER(_xlpm.rng)*(_xlpm.rng&lt;&gt;0),COLUMN(_xlpm.rng),0)),
        _xlpm.secondLastCol,MAX(IF((ISNUMBER(_xlpm.rng)*(_xlpm.rng&lt;&gt;0)*(COLUMN(_xlpm.rng)&lt;_xlpm.lastCol)),COLUMN(_xlpm.rng),0)),
        _xlpm.lastVal,INDEX(B49:N49,1,_xlpm.lastCol-1),
        _xlpm.secondLastVal,INDEX(B49:N49,1,_xlpm.secondLastCol-1),
        IF(OR(_xlpm.secondLastCol=0,_xlpm.lastCol=0),"-",(_xlpm.lastVal-_xlpm.secondLastVal)/ABS(_xlpm.secondLastVal))
    ),"-")</f>
        <v>-</v>
      </c>
      <c r="P49" s="22">
        <f t="shared" ref="P49:P51" si="8">SUM(B49:N49)</f>
        <v>0</v>
      </c>
    </row>
    <row r="50" spans="1:16">
      <c r="A50" s="10" t="s">
        <v>20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6" t="str" cm="1">
        <f t="array" ref="O50">IFERROR(_xlfn.LET(
        _xlpm.rng,B50:N50,
        _xlpm.lastCol,MAX(IF(ISNUMBER(_xlpm.rng)*(_xlpm.rng&lt;&gt;0),COLUMN(_xlpm.rng),0)),
        _xlpm.secondLastCol,MAX(IF((ISNUMBER(_xlpm.rng)*(_xlpm.rng&lt;&gt;0)*(COLUMN(_xlpm.rng)&lt;_xlpm.lastCol)),COLUMN(_xlpm.rng),0)),
        _xlpm.lastVal,INDEX(B50:N50,1,_xlpm.lastCol-1),
        _xlpm.secondLastVal,INDEX(B50:N50,1,_xlpm.secondLastCol-1),
        IF(OR(_xlpm.secondLastCol=0,_xlpm.lastCol=0),"-",(_xlpm.lastVal-_xlpm.secondLastVal)/ABS(_xlpm.secondLastVal))
    ),"-")</f>
        <v>-</v>
      </c>
      <c r="P50" s="22">
        <f t="shared" si="8"/>
        <v>0</v>
      </c>
    </row>
    <row r="51" spans="1:16" ht="15.75" thickBot="1">
      <c r="A51" s="10" t="s">
        <v>21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6" t="str" cm="1">
        <f t="array" ref="O51">IFERROR(_xlfn.LET(
        _xlpm.rng,B51:N51,
        _xlpm.lastCol,MAX(IF(ISNUMBER(_xlpm.rng)*(_xlpm.rng&lt;&gt;0),COLUMN(_xlpm.rng),0)),
        _xlpm.secondLastCol,MAX(IF((ISNUMBER(_xlpm.rng)*(_xlpm.rng&lt;&gt;0)*(COLUMN(_xlpm.rng)&lt;_xlpm.lastCol)),COLUMN(_xlpm.rng),0)),
        _xlpm.lastVal,INDEX(B51:N51,1,_xlpm.lastCol-1),
        _xlpm.secondLastVal,INDEX(B51:N51,1,_xlpm.secondLastCol-1),
        IF(OR(_xlpm.secondLastCol=0,_xlpm.lastCol=0),"-",(_xlpm.lastVal-_xlpm.secondLastVal)/ABS(_xlpm.secondLastVal))
    ),"-")</f>
        <v>-</v>
      </c>
      <c r="P51" s="22">
        <f t="shared" si="8"/>
        <v>0</v>
      </c>
    </row>
    <row r="52" spans="1:16" ht="16.5" thickTop="1" thickBot="1">
      <c r="A52" s="89" t="s">
        <v>77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71" t="s">
        <v>24</v>
      </c>
    </row>
    <row r="53" spans="1:16" ht="16.5" thickTop="1">
      <c r="A53" s="11" t="s">
        <v>14</v>
      </c>
      <c r="B53" s="44" t="s">
        <v>78</v>
      </c>
      <c r="C53" s="44" t="s">
        <v>79</v>
      </c>
      <c r="D53" s="44" t="s">
        <v>80</v>
      </c>
      <c r="E53" s="44" t="s">
        <v>81</v>
      </c>
      <c r="F53" s="45" t="s">
        <v>82</v>
      </c>
      <c r="G53" s="44" t="s">
        <v>83</v>
      </c>
      <c r="H53" s="44" t="s">
        <v>84</v>
      </c>
      <c r="I53" s="44" t="s">
        <v>85</v>
      </c>
      <c r="J53" s="45" t="s">
        <v>86</v>
      </c>
      <c r="K53" s="45" t="s">
        <v>87</v>
      </c>
      <c r="L53" s="45" t="s">
        <v>88</v>
      </c>
      <c r="M53" s="45" t="s">
        <v>89</v>
      </c>
      <c r="N53" s="45" t="s">
        <v>90</v>
      </c>
      <c r="O53" s="28" t="s">
        <v>38</v>
      </c>
      <c r="P53" s="70" t="s">
        <v>39</v>
      </c>
    </row>
    <row r="54" spans="1:16">
      <c r="A54" s="10" t="s">
        <v>19</v>
      </c>
      <c r="B54" s="22">
        <f>SUMIF(Taival_WL!$A:$A,"&lt;="&amp;B53,Taival_WL!$H:$H)-SUMIF(Taival_WL!$A:$A,"&lt;="&amp;N36,Taival_WL!$H:$H)</f>
        <v>0</v>
      </c>
      <c r="C54" s="22">
        <f>SUMIFS(Taival_WL!$H:$H,Taival_WL!$A:$A,"&gt;"&amp;B53,Taival_WL!$A:$A,"&lt;="&amp;C53)</f>
        <v>0</v>
      </c>
      <c r="D54" s="22">
        <f>SUMIFS(Taival_WL!$H:$H,Taival_WL!$A:$A,"&gt;"&amp;C53,Taival_WL!$A:$A,"&lt;="&amp;D53)</f>
        <v>0</v>
      </c>
      <c r="E54" s="22">
        <f>SUMIFS(Taival_WL!$H:$H,Taival_WL!$A:$A,"&gt;"&amp;D53,Taival_WL!$A:$A,"&lt;="&amp;E53)</f>
        <v>0</v>
      </c>
      <c r="F54" s="23">
        <f>SUMIFS(Taival_WL!$H:$H,Taival_WL!$A:$A,"&gt;"&amp;E53,Taival_WL!$A:$A,"&lt;="&amp;F53)</f>
        <v>0</v>
      </c>
      <c r="G54" s="22">
        <f>SUMIFS(Taival_WL!$H:$H,Taival_WL!$A:$A,"&gt;"&amp;F53,Taival_WL!$A:$A,"&lt;="&amp;G53)</f>
        <v>0</v>
      </c>
      <c r="H54" s="22">
        <f>SUMIFS(Taival_WL!$H:$H,Taival_WL!$A:$A,"&gt;"&amp;G53,Taival_WL!$A:$A,"&lt;="&amp;H53)</f>
        <v>0</v>
      </c>
      <c r="I54" s="22">
        <f>SUMIFS(Taival_WL!$H:$H,Taival_WL!$A:$A,"&gt;"&amp;H53,Taival_WL!$A:$A,"&lt;="&amp;I53)</f>
        <v>0</v>
      </c>
      <c r="J54" s="23">
        <f>SUMIFS(Taival_WL!$H:$H,Taival_WL!$A:$A,"&gt;"&amp;I53,Taival_WL!$A:$A,"&lt;="&amp;J53)</f>
        <v>0</v>
      </c>
      <c r="K54" s="22">
        <f>SUMIFS(Taival_WL!$H:$H,Taival_WL!$A:$A,"&gt;"&amp;J53,Taival_WL!$A:$A,"&lt;="&amp;K53)</f>
        <v>0</v>
      </c>
      <c r="L54" s="22">
        <f>SUMIFS(Taival_WL!$H:$H,Taival_WL!$A:$A,"&gt;"&amp;K53,Taival_WL!$A:$A,"&lt;="&amp;L53)</f>
        <v>0</v>
      </c>
      <c r="M54" s="22">
        <f>SUMIFS(Taival_WL!$H:$H,Taival_WL!$A:$A,"&gt;"&amp;L53,Taival_WL!$A:$A,"&lt;="&amp;M53)</f>
        <v>0</v>
      </c>
      <c r="N54" s="22">
        <f>SUMIFS(Taival_WL!$H:$H,Taival_WL!$A:$A,"&gt;"&amp;M53,Taival_WL!$A:$A,"&lt;="&amp;N53)</f>
        <v>0</v>
      </c>
      <c r="O54" s="26" t="str" cm="1">
        <f t="array" ref="O54">IFERROR(_xlfn.LET(
        _xlpm.rng,B54:N54,
        _xlpm.lastCol,MAX(IF(ISNUMBER(_xlpm.rng)*(_xlpm.rng&lt;&gt;0),COLUMN(_xlpm.rng),0)),
        _xlpm.secondLastCol,MAX(IF((ISNUMBER(_xlpm.rng)*(_xlpm.rng&lt;&gt;0)*(COLUMN(_xlpm.rng)&lt;_xlpm.lastCol)),COLUMN(_xlpm.rng),0)),
        _xlpm.lastVal,INDEX(B54:N54,1,_xlpm.lastCol-1),
        _xlpm.secondLastVal,INDEX(B54:N54,1,_xlpm.secondLastCol-1),
        IF(OR(_xlpm.secondLastCol=0,_xlpm.lastCol=0),"-",(_xlpm.lastVal-_xlpm.secondLastVal)/ABS(_xlpm.secondLastVal))
    ),"-")</f>
        <v>-</v>
      </c>
      <c r="P54" s="22">
        <f t="shared" ref="P54:P56" si="9">SUM(B54:N54)</f>
        <v>0</v>
      </c>
    </row>
    <row r="55" spans="1:16">
      <c r="A55" s="10" t="s">
        <v>20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6" t="str" cm="1">
        <f t="array" ref="O55">IFERROR(_xlfn.LET(
        _xlpm.rng,B55:N55,
        _xlpm.lastCol,MAX(IF(ISNUMBER(_xlpm.rng)*(_xlpm.rng&lt;&gt;0),COLUMN(_xlpm.rng),0)),
        _xlpm.secondLastCol,MAX(IF((ISNUMBER(_xlpm.rng)*(_xlpm.rng&lt;&gt;0)*(COLUMN(_xlpm.rng)&lt;_xlpm.lastCol)),COLUMN(_xlpm.rng),0)),
        _xlpm.lastVal,INDEX(B55:N55,1,_xlpm.lastCol-1),
        _xlpm.secondLastVal,INDEX(B55:N55,1,_xlpm.secondLastCol-1),
        IF(OR(_xlpm.secondLastCol=0,_xlpm.lastCol=0),"-",(_xlpm.lastVal-_xlpm.secondLastVal)/ABS(_xlpm.secondLastVal))
    ),"-")</f>
        <v>-</v>
      </c>
      <c r="P55" s="22">
        <f t="shared" si="9"/>
        <v>0</v>
      </c>
    </row>
    <row r="56" spans="1:16">
      <c r="A56" s="10" t="s">
        <v>21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6" t="str" cm="1">
        <f t="array" ref="O56">IFERROR(_xlfn.LET(
        _xlpm.rng,B56:N56,
        _xlpm.lastCol,MAX(IF(ISNUMBER(_xlpm.rng)*(_xlpm.rng&lt;&gt;0),COLUMN(_xlpm.rng),0)),
        _xlpm.secondLastCol,MAX(IF((ISNUMBER(_xlpm.rng)*(_xlpm.rng&lt;&gt;0)*(COLUMN(_xlpm.rng)&lt;_xlpm.lastCol)),COLUMN(_xlpm.rng),0)),
        _xlpm.lastVal,INDEX(B56:N56,1,_xlpm.lastCol-1),
        _xlpm.secondLastVal,INDEX(B56:N56,1,_xlpm.secondLastCol-1),
        IF(OR(_xlpm.secondLastCol=0,_xlpm.lastCol=0),"-",(_xlpm.lastVal-_xlpm.secondLastVal)/ABS(_xlpm.secondLastVal))
    ),"-")</f>
        <v>-</v>
      </c>
      <c r="P56" s="22">
        <f t="shared" si="9"/>
        <v>0</v>
      </c>
    </row>
    <row r="57" spans="1:16" ht="15.75">
      <c r="A57" s="11" t="s">
        <v>40</v>
      </c>
      <c r="B57" s="44" t="s">
        <v>78</v>
      </c>
      <c r="C57" s="44" t="s">
        <v>79</v>
      </c>
      <c r="D57" s="44" t="s">
        <v>80</v>
      </c>
      <c r="E57" s="44" t="s">
        <v>81</v>
      </c>
      <c r="F57" s="45" t="s">
        <v>82</v>
      </c>
      <c r="G57" s="44" t="s">
        <v>83</v>
      </c>
      <c r="H57" s="44" t="s">
        <v>84</v>
      </c>
      <c r="I57" s="44" t="s">
        <v>85</v>
      </c>
      <c r="J57" s="45" t="s">
        <v>86</v>
      </c>
      <c r="K57" s="45" t="s">
        <v>87</v>
      </c>
      <c r="L57" s="45" t="s">
        <v>88</v>
      </c>
      <c r="M57" s="45" t="s">
        <v>89</v>
      </c>
      <c r="N57" s="45" t="s">
        <v>90</v>
      </c>
      <c r="O57" s="28" t="s">
        <v>38</v>
      </c>
      <c r="P57" s="70" t="s">
        <v>39</v>
      </c>
    </row>
    <row r="58" spans="1:16">
      <c r="A58" s="10" t="s">
        <v>19</v>
      </c>
      <c r="B58" s="22">
        <f>SUMIF(Taival_WL!$A:$A,"&lt;="&amp;B57,Taival_WL!$H:$H)-SUMIF(Taival_WL!$A:$A,"&lt;="&amp;N40,Taival_WL!$H:$H)</f>
        <v>0</v>
      </c>
      <c r="C58" s="22">
        <f>SUMIFS(Taival_WL!$H:$H,Taival_WL!$A:$A,"&gt;"&amp;B57,Taival_WL!$A:$A,"&lt;="&amp;C57)</f>
        <v>0</v>
      </c>
      <c r="D58" s="22">
        <f>SUMIFS(Taival_WL!$H:$H,Taival_WL!$A:$A,"&gt;"&amp;C57,Taival_WL!$A:$A,"&lt;="&amp;D57)</f>
        <v>0</v>
      </c>
      <c r="E58" s="22">
        <f>SUMIFS(Taival_WL!$H:$H,Taival_WL!$A:$A,"&gt;"&amp;D57,Taival_WL!$A:$A,"&lt;="&amp;E57)</f>
        <v>0</v>
      </c>
      <c r="F58" s="23">
        <f>SUMIFS(Taival_WL!$H:$H,Taival_WL!$A:$A,"&gt;"&amp;E57,Taival_WL!$A:$A,"&lt;="&amp;F57)</f>
        <v>0</v>
      </c>
      <c r="G58" s="22">
        <f>SUMIFS(Taival_WL!$H:$H,Taival_WL!$A:$A,"&gt;"&amp;F57,Taival_WL!$A:$A,"&lt;="&amp;G57)</f>
        <v>0</v>
      </c>
      <c r="H58" s="22">
        <f>SUMIFS(Taival_WL!$H:$H,Taival_WL!$A:$A,"&gt;"&amp;G57,Taival_WL!$A:$A,"&lt;="&amp;H57)</f>
        <v>0</v>
      </c>
      <c r="I58" s="22">
        <f>SUMIFS(Taival_WL!$H:$H,Taival_WL!$A:$A,"&gt;"&amp;H57,Taival_WL!$A:$A,"&lt;="&amp;I57)</f>
        <v>0</v>
      </c>
      <c r="J58" s="23">
        <f>SUMIFS(Taival_WL!$H:$H,Taival_WL!$A:$A,"&gt;"&amp;I57,Taival_WL!$A:$A,"&lt;="&amp;J57)</f>
        <v>0</v>
      </c>
      <c r="K58" s="22">
        <f>SUMIFS(Taival_WL!$H:$H,Taival_WL!$A:$A,"&gt;"&amp;J57,Taival_WL!$A:$A,"&lt;="&amp;K57)</f>
        <v>0</v>
      </c>
      <c r="L58" s="22">
        <f>SUMIFS(Taival_WL!$H:$H,Taival_WL!$A:$A,"&gt;"&amp;K57,Taival_WL!$A:$A,"&lt;="&amp;L57)</f>
        <v>0</v>
      </c>
      <c r="M58" s="22">
        <f>SUMIFS(Taival_WL!$H:$H,Taival_WL!$A:$A,"&gt;"&amp;L57,Taival_WL!$A:$A,"&lt;="&amp;M57)</f>
        <v>0</v>
      </c>
      <c r="N58" s="22">
        <f>SUMIFS(Taival_WL!$H:$H,Taival_WL!$A:$A,"&gt;"&amp;M57,Taival_WL!$A:$A,"&lt;="&amp;N57)</f>
        <v>0</v>
      </c>
      <c r="O58" s="26" t="str" cm="1">
        <f t="array" ref="O58">IFERROR(_xlfn.LET(
        _xlpm.rng,B58:N58,
        _xlpm.lastCol,MAX(IF(ISNUMBER(_xlpm.rng)*(_xlpm.rng&lt;&gt;0),COLUMN(_xlpm.rng),0)),
        _xlpm.secondLastCol,MAX(IF((ISNUMBER(_xlpm.rng)*(_xlpm.rng&lt;&gt;0)*(COLUMN(_xlpm.rng)&lt;_xlpm.lastCol)),COLUMN(_xlpm.rng),0)),
        _xlpm.lastVal,INDEX(B58:N58,1,_xlpm.lastCol-1),
        _xlpm.secondLastVal,INDEX(B58:N58,1,_xlpm.secondLastCol-1),
        IF(OR(_xlpm.secondLastCol=0,_xlpm.lastCol=0),"-",(_xlpm.lastVal-_xlpm.secondLastVal)/ABS(_xlpm.secondLastVal))
    ),"-")</f>
        <v>-</v>
      </c>
      <c r="P58" s="22">
        <f t="shared" ref="P58:P60" si="10">SUM(B58:N58)</f>
        <v>0</v>
      </c>
    </row>
    <row r="59" spans="1:16">
      <c r="A59" s="10" t="s">
        <v>20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6" t="str" cm="1">
        <f t="array" ref="O59">IFERROR(_xlfn.LET(
        _xlpm.rng,B59:N59,
        _xlpm.lastCol,MAX(IF(ISNUMBER(_xlpm.rng)*(_xlpm.rng&lt;&gt;0),COLUMN(_xlpm.rng),0)),
        _xlpm.secondLastCol,MAX(IF((ISNUMBER(_xlpm.rng)*(_xlpm.rng&lt;&gt;0)*(COLUMN(_xlpm.rng)&lt;_xlpm.lastCol)),COLUMN(_xlpm.rng),0)),
        _xlpm.lastVal,INDEX(B59:N59,1,_xlpm.lastCol-1),
        _xlpm.secondLastVal,INDEX(B59:N59,1,_xlpm.secondLastCol-1),
        IF(OR(_xlpm.secondLastCol=0,_xlpm.lastCol=0),"-",(_xlpm.lastVal-_xlpm.secondLastVal)/ABS(_xlpm.secondLastVal))
    ),"-")</f>
        <v>-</v>
      </c>
      <c r="P59" s="22">
        <f t="shared" si="10"/>
        <v>0</v>
      </c>
    </row>
    <row r="60" spans="1:16">
      <c r="A60" s="10" t="s">
        <v>21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6" t="str" cm="1">
        <f t="array" ref="O60">IFERROR(_xlfn.LET(
        _xlpm.rng,B60:N60,
        _xlpm.lastCol,MAX(IF(ISNUMBER(_xlpm.rng)*(_xlpm.rng&lt;&gt;0),COLUMN(_xlpm.rng),0)),
        _xlpm.secondLastCol,MAX(IF((ISNUMBER(_xlpm.rng)*(_xlpm.rng&lt;&gt;0)*(COLUMN(_xlpm.rng)&lt;_xlpm.lastCol)),COLUMN(_xlpm.rng),0)),
        _xlpm.lastVal,INDEX(B60:N60,1,_xlpm.lastCol-1),
        _xlpm.secondLastVal,INDEX(B60:N60,1,_xlpm.secondLastCol-1),
        IF(OR(_xlpm.secondLastCol=0,_xlpm.lastCol=0),"-",(_xlpm.lastVal-_xlpm.secondLastVal)/ABS(_xlpm.secondLastVal))
    ),"-")</f>
        <v>-</v>
      </c>
      <c r="P60" s="22">
        <f t="shared" si="10"/>
        <v>0</v>
      </c>
    </row>
    <row r="61" spans="1:16" ht="15.75">
      <c r="A61" s="11" t="s">
        <v>16</v>
      </c>
      <c r="B61" s="44" t="s">
        <v>78</v>
      </c>
      <c r="C61" s="44" t="s">
        <v>79</v>
      </c>
      <c r="D61" s="44" t="s">
        <v>80</v>
      </c>
      <c r="E61" s="44" t="s">
        <v>81</v>
      </c>
      <c r="F61" s="45" t="s">
        <v>82</v>
      </c>
      <c r="G61" s="44" t="s">
        <v>83</v>
      </c>
      <c r="H61" s="44" t="s">
        <v>84</v>
      </c>
      <c r="I61" s="44" t="s">
        <v>85</v>
      </c>
      <c r="J61" s="45" t="s">
        <v>86</v>
      </c>
      <c r="K61" s="45" t="s">
        <v>87</v>
      </c>
      <c r="L61" s="45" t="s">
        <v>88</v>
      </c>
      <c r="M61" s="45" t="s">
        <v>89</v>
      </c>
      <c r="N61" s="45" t="s">
        <v>90</v>
      </c>
      <c r="O61" s="28" t="s">
        <v>38</v>
      </c>
      <c r="P61" s="70" t="s">
        <v>39</v>
      </c>
    </row>
    <row r="62" spans="1:16">
      <c r="A62" s="10" t="s">
        <v>19</v>
      </c>
      <c r="B62" s="22">
        <f>SUMIF(Taival_WL!$A:$A,"&lt;="&amp;B61,Taival_WL!$H:$H)-SUMIF(Taival_WL!$A:$A,"&lt;="&amp;N44,Taival_WL!$H:$H)</f>
        <v>0</v>
      </c>
      <c r="C62" s="22">
        <f>SUMIFS(Taival_WL!$H:$H,Taival_WL!$A:$A,"&gt;"&amp;B61,Taival_WL!$A:$A,"&lt;="&amp;C61)</f>
        <v>0</v>
      </c>
      <c r="D62" s="22">
        <f>SUMIFS(Taival_WL!$H:$H,Taival_WL!$A:$A,"&gt;"&amp;C61,Taival_WL!$A:$A,"&lt;="&amp;D61)</f>
        <v>0</v>
      </c>
      <c r="E62" s="22">
        <f>SUMIFS(Taival_WL!$H:$H,Taival_WL!$A:$A,"&gt;"&amp;D61,Taival_WL!$A:$A,"&lt;="&amp;E61)</f>
        <v>0</v>
      </c>
      <c r="F62" s="23">
        <f>SUMIFS(Taival_WL!$H:$H,Taival_WL!$A:$A,"&gt;"&amp;E61,Taival_WL!$A:$A,"&lt;="&amp;F61)</f>
        <v>0</v>
      </c>
      <c r="G62" s="22">
        <f>SUMIFS(Taival_WL!$H:$H,Taival_WL!$A:$A,"&gt;"&amp;F61,Taival_WL!$A:$A,"&lt;="&amp;G61)</f>
        <v>0</v>
      </c>
      <c r="H62" s="22">
        <f>SUMIFS(Taival_WL!$H:$H,Taival_WL!$A:$A,"&gt;"&amp;G61,Taival_WL!$A:$A,"&lt;="&amp;H61)</f>
        <v>0</v>
      </c>
      <c r="I62" s="22">
        <f>SUMIFS(Taival_WL!$H:$H,Taival_WL!$A:$A,"&gt;"&amp;H61,Taival_WL!$A:$A,"&lt;="&amp;I61)</f>
        <v>0</v>
      </c>
      <c r="J62" s="23">
        <f>SUMIFS(Taival_WL!$H:$H,Taival_WL!$A:$A,"&gt;"&amp;I61,Taival_WL!$A:$A,"&lt;="&amp;J61)</f>
        <v>0</v>
      </c>
      <c r="K62" s="22">
        <f>SUMIFS(Taival_WL!$H:$H,Taival_WL!$A:$A,"&gt;"&amp;J61,Taival_WL!$A:$A,"&lt;="&amp;K61)</f>
        <v>0</v>
      </c>
      <c r="L62" s="22">
        <f>SUMIFS(Taival_WL!$H:$H,Taival_WL!$A:$A,"&gt;"&amp;K61,Taival_WL!$A:$A,"&lt;="&amp;L61)</f>
        <v>0</v>
      </c>
      <c r="M62" s="22">
        <f>SUMIFS(Taival_WL!$H:$H,Taival_WL!$A:$A,"&gt;"&amp;L61,Taival_WL!$A:$A,"&lt;="&amp;M61)</f>
        <v>0</v>
      </c>
      <c r="N62" s="22">
        <f>SUMIFS(Taival_WL!$H:$H,Taival_WL!$A:$A,"&gt;"&amp;M61,Taival_WL!$A:$A,"&lt;="&amp;N61)</f>
        <v>0</v>
      </c>
      <c r="O62" s="26" t="str" cm="1">
        <f t="array" ref="O62">IFERROR(_xlfn.LET(
        _xlpm.rng,B62:N62,
        _xlpm.lastCol,MAX(IF(ISNUMBER(_xlpm.rng)*(_xlpm.rng&lt;&gt;0),COLUMN(_xlpm.rng),0)),
        _xlpm.secondLastCol,MAX(IF((ISNUMBER(_xlpm.rng)*(_xlpm.rng&lt;&gt;0)*(COLUMN(_xlpm.rng)&lt;_xlpm.lastCol)),COLUMN(_xlpm.rng),0)),
        _xlpm.lastVal,INDEX(B62:N62,1,_xlpm.lastCol-1),
        _xlpm.secondLastVal,INDEX(B62:N62,1,_xlpm.secondLastCol-1),
        IF(OR(_xlpm.secondLastCol=0,_xlpm.lastCol=0),"-",(_xlpm.lastVal-_xlpm.secondLastVal)/ABS(_xlpm.secondLastVal))
    ),"-")</f>
        <v>-</v>
      </c>
      <c r="P62" s="22">
        <f t="shared" ref="P62:P64" si="11">SUM(B62:N62)</f>
        <v>0</v>
      </c>
    </row>
    <row r="63" spans="1:16">
      <c r="A63" s="10" t="s">
        <v>20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6" t="str" cm="1">
        <f t="array" ref="O63">IFERROR(_xlfn.LET(
        _xlpm.rng,B63:N63,
        _xlpm.lastCol,MAX(IF(ISNUMBER(_xlpm.rng)*(_xlpm.rng&lt;&gt;0),COLUMN(_xlpm.rng),0)),
        _xlpm.secondLastCol,MAX(IF((ISNUMBER(_xlpm.rng)*(_xlpm.rng&lt;&gt;0)*(COLUMN(_xlpm.rng)&lt;_xlpm.lastCol)),COLUMN(_xlpm.rng),0)),
        _xlpm.lastVal,INDEX(B63:N63,1,_xlpm.lastCol-1),
        _xlpm.secondLastVal,INDEX(B63:N63,1,_xlpm.secondLastCol-1),
        IF(OR(_xlpm.secondLastCol=0,_xlpm.lastCol=0),"-",(_xlpm.lastVal-_xlpm.secondLastVal)/ABS(_xlpm.secondLastVal))
    ),"-")</f>
        <v>-</v>
      </c>
      <c r="P63" s="22">
        <f t="shared" si="11"/>
        <v>0</v>
      </c>
    </row>
    <row r="64" spans="1:16">
      <c r="A64" s="10" t="s">
        <v>21</v>
      </c>
      <c r="B64" s="22">
        <v>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6" t="str" cm="1">
        <f t="array" ref="O64">IFERROR(_xlfn.LET(
        _xlpm.rng,B64:N64,
        _xlpm.lastCol,MAX(IF(ISNUMBER(_xlpm.rng)*(_xlpm.rng&lt;&gt;0),COLUMN(_xlpm.rng),0)),
        _xlpm.secondLastCol,MAX(IF((ISNUMBER(_xlpm.rng)*(_xlpm.rng&lt;&gt;0)*(COLUMN(_xlpm.rng)&lt;_xlpm.lastCol)),COLUMN(_xlpm.rng),0)),
        _xlpm.lastVal,INDEX(B64:N64,1,_xlpm.lastCol-1),
        _xlpm.secondLastVal,INDEX(B64:N64,1,_xlpm.secondLastCol-1),
        IF(OR(_xlpm.secondLastCol=0,_xlpm.lastCol=0),"-",(_xlpm.lastVal-_xlpm.secondLastVal)/ABS(_xlpm.secondLastVal))
    ),"-")</f>
        <v>-</v>
      </c>
      <c r="P64" s="22">
        <f t="shared" si="11"/>
        <v>0</v>
      </c>
    </row>
    <row r="65" spans="1:53" ht="15.75">
      <c r="A65" s="11" t="s">
        <v>17</v>
      </c>
      <c r="B65" s="44" t="s">
        <v>78</v>
      </c>
      <c r="C65" s="44" t="s">
        <v>79</v>
      </c>
      <c r="D65" s="44" t="s">
        <v>80</v>
      </c>
      <c r="E65" s="44" t="s">
        <v>81</v>
      </c>
      <c r="F65" s="45" t="s">
        <v>82</v>
      </c>
      <c r="G65" s="44" t="s">
        <v>83</v>
      </c>
      <c r="H65" s="44" t="s">
        <v>84</v>
      </c>
      <c r="I65" s="44" t="s">
        <v>85</v>
      </c>
      <c r="J65" s="45" t="s">
        <v>86</v>
      </c>
      <c r="K65" s="45" t="s">
        <v>87</v>
      </c>
      <c r="L65" s="45" t="s">
        <v>88</v>
      </c>
      <c r="M65" s="45" t="s">
        <v>89</v>
      </c>
      <c r="N65" s="45" t="s">
        <v>90</v>
      </c>
      <c r="O65" s="28" t="s">
        <v>38</v>
      </c>
      <c r="P65" s="70" t="s">
        <v>39</v>
      </c>
    </row>
    <row r="66" spans="1:53">
      <c r="A66" s="10" t="s">
        <v>19</v>
      </c>
      <c r="B66" s="22">
        <f>SUMIF(Taival_WL!$A:$A,"&lt;="&amp;B65,Taival_WL!$H:$H)-SUMIF(Taival_WL!$A:$A,"&lt;="&amp;N48,Taival_WL!$H:$H)</f>
        <v>0</v>
      </c>
      <c r="C66" s="22">
        <f>SUMIFS(Taival_WL!$H:$H,Taival_WL!$A:$A,"&gt;"&amp;B65,Taival_WL!$A:$A,"&lt;="&amp;C65)</f>
        <v>0</v>
      </c>
      <c r="D66" s="22">
        <f>SUMIFS(Taival_WL!$H:$H,Taival_WL!$A:$A,"&gt;"&amp;C65,Taival_WL!$A:$A,"&lt;="&amp;D65)</f>
        <v>0</v>
      </c>
      <c r="E66" s="22">
        <f>SUMIFS(Taival_WL!$H:$H,Taival_WL!$A:$A,"&gt;"&amp;D65,Taival_WL!$A:$A,"&lt;="&amp;E65)</f>
        <v>0</v>
      </c>
      <c r="F66" s="23">
        <f>SUMIFS(Taival_WL!$H:$H,Taival_WL!$A:$A,"&gt;"&amp;E65,Taival_WL!$A:$A,"&lt;="&amp;F65)</f>
        <v>0</v>
      </c>
      <c r="G66" s="22">
        <f>SUMIFS(Taival_WL!$H:$H,Taival_WL!$A:$A,"&gt;"&amp;F65,Taival_WL!$A:$A,"&lt;="&amp;G65)</f>
        <v>0</v>
      </c>
      <c r="H66" s="22">
        <f>SUMIFS(Taival_WL!$H:$H,Taival_WL!$A:$A,"&gt;"&amp;G65,Taival_WL!$A:$A,"&lt;="&amp;H65)</f>
        <v>0</v>
      </c>
      <c r="I66" s="22">
        <f>SUMIFS(Taival_WL!$H:$H,Taival_WL!$A:$A,"&gt;"&amp;H65,Taival_WL!$A:$A,"&lt;="&amp;I65)</f>
        <v>0</v>
      </c>
      <c r="J66" s="23">
        <f>SUMIFS(Taival_WL!$H:$H,Taival_WL!$A:$A,"&gt;"&amp;I65,Taival_WL!$A:$A,"&lt;="&amp;J65)</f>
        <v>0</v>
      </c>
      <c r="K66" s="22">
        <f>SUMIFS(Taival_WL!$H:$H,Taival_WL!$A:$A,"&gt;"&amp;J65,Taival_WL!$A:$A,"&lt;="&amp;K65)</f>
        <v>0</v>
      </c>
      <c r="L66" s="22">
        <f>SUMIFS(Taival_WL!$H:$H,Taival_WL!$A:$A,"&gt;"&amp;K65,Taival_WL!$A:$A,"&lt;="&amp;L65)</f>
        <v>0</v>
      </c>
      <c r="M66" s="22">
        <f>SUMIFS(Taival_WL!$H:$H,Taival_WL!$A:$A,"&gt;"&amp;L65,Taival_WL!$A:$A,"&lt;="&amp;M65)</f>
        <v>0</v>
      </c>
      <c r="N66" s="22">
        <f>SUMIFS(Taival_WL!$H:$H,Taival_WL!$A:$A,"&gt;"&amp;M65,Taival_WL!$A:$A,"&lt;="&amp;N65)</f>
        <v>0</v>
      </c>
      <c r="O66" s="26" t="str" cm="1">
        <f t="array" ref="O66">IFERROR(_xlfn.LET(
        _xlpm.rng,B66:N66,
        _xlpm.lastCol,MAX(IF(ISNUMBER(_xlpm.rng)*(_xlpm.rng&lt;&gt;0),COLUMN(_xlpm.rng),0)),
        _xlpm.secondLastCol,MAX(IF((ISNUMBER(_xlpm.rng)*(_xlpm.rng&lt;&gt;0)*(COLUMN(_xlpm.rng)&lt;_xlpm.lastCol)),COLUMN(_xlpm.rng),0)),
        _xlpm.lastVal,INDEX(B66:N66,1,_xlpm.lastCol-1),
        _xlpm.secondLastVal,INDEX(B66:N66,1,_xlpm.secondLastCol-1),
        IF(OR(_xlpm.secondLastCol=0,_xlpm.lastCol=0),"-",(_xlpm.lastVal-_xlpm.secondLastVal)/ABS(_xlpm.secondLastVal))
    ),"-")</f>
        <v>-</v>
      </c>
      <c r="P66" s="22">
        <f t="shared" ref="P66:P68" si="12">SUM(B66:N66)</f>
        <v>0</v>
      </c>
    </row>
    <row r="67" spans="1:53">
      <c r="A67" s="10" t="s">
        <v>20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6" t="str" cm="1">
        <f t="array" ref="O67">IFERROR(_xlfn.LET(
        _xlpm.rng,B67:N67,
        _xlpm.lastCol,MAX(IF(ISNUMBER(_xlpm.rng)*(_xlpm.rng&lt;&gt;0),COLUMN(_xlpm.rng),0)),
        _xlpm.secondLastCol,MAX(IF((ISNUMBER(_xlpm.rng)*(_xlpm.rng&lt;&gt;0)*(COLUMN(_xlpm.rng)&lt;_xlpm.lastCol)),COLUMN(_xlpm.rng),0)),
        _xlpm.lastVal,INDEX(B67:N67,1,_xlpm.lastCol-1),
        _xlpm.secondLastVal,INDEX(B67:N67,1,_xlpm.secondLastCol-1),
        IF(OR(_xlpm.secondLastCol=0,_xlpm.lastCol=0),"-",(_xlpm.lastVal-_xlpm.secondLastVal)/ABS(_xlpm.secondLastVal))
    ),"-")</f>
        <v>-</v>
      </c>
      <c r="P67" s="22">
        <f t="shared" si="12"/>
        <v>0</v>
      </c>
    </row>
    <row r="68" spans="1:53">
      <c r="A68" s="10" t="s">
        <v>21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6" t="str" cm="1">
        <f t="array" ref="O68">IFERROR(_xlfn.LET(
        _xlpm.rng,B68:N68,
        _xlpm.lastCol,MAX(IF(ISNUMBER(_xlpm.rng)*(_xlpm.rng&lt;&gt;0),COLUMN(_xlpm.rng),0)),
        _xlpm.secondLastCol,MAX(IF((ISNUMBER(_xlpm.rng)*(_xlpm.rng&lt;&gt;0)*(COLUMN(_xlpm.rng)&lt;_xlpm.lastCol)),COLUMN(_xlpm.rng),0)),
        _xlpm.lastVal,INDEX(B68:N68,1,_xlpm.lastCol-1),
        _xlpm.secondLastVal,INDEX(B68:N68,1,_xlpm.secondLastCol-1),
        IF(OR(_xlpm.secondLastCol=0,_xlpm.lastCol=0),"-",(_xlpm.lastVal-_xlpm.secondLastVal)/ABS(_xlpm.secondLastVal))
    ),"-")</f>
        <v>-</v>
      </c>
      <c r="P68" s="22">
        <f t="shared" si="12"/>
        <v>0</v>
      </c>
    </row>
    <row r="71" spans="1:5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</sheetData>
  <mergeCells count="5">
    <mergeCell ref="A52:O52"/>
    <mergeCell ref="A35:O35"/>
    <mergeCell ref="A1:O1"/>
    <mergeCell ref="A18:O18"/>
    <mergeCell ref="R14:V22"/>
  </mergeCells>
  <phoneticPr fontId="9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DC24-E3B9-4715-9C09-5CB6830FDBEF}">
  <dimension ref="A1:O379"/>
  <sheetViews>
    <sheetView topLeftCell="A100" workbookViewId="0">
      <selection activeCell="I122" sqref="I122:I152"/>
    </sheetView>
  </sheetViews>
  <sheetFormatPr defaultRowHeight="15"/>
  <cols>
    <col min="1" max="1" width="10.42578125" bestFit="1" customWidth="1"/>
    <col min="2" max="2" width="6.28515625" bestFit="1" customWidth="1"/>
    <col min="3" max="3" width="5.42578125" bestFit="1" customWidth="1"/>
    <col min="4" max="4" width="7.42578125" bestFit="1" customWidth="1"/>
    <col min="5" max="5" width="24.7109375" bestFit="1" customWidth="1"/>
    <col min="6" max="6" width="5" bestFit="1" customWidth="1"/>
    <col min="7" max="7" width="11.85546875" bestFit="1" customWidth="1"/>
    <col min="8" max="8" width="10.5703125" bestFit="1" customWidth="1"/>
    <col min="9" max="9" width="11.42578125" bestFit="1" customWidth="1"/>
  </cols>
  <sheetData>
    <row r="1" spans="1:15">
      <c r="A1" s="13" t="s">
        <v>91</v>
      </c>
      <c r="B1" s="13" t="s">
        <v>0</v>
      </c>
      <c r="C1" s="13" t="s">
        <v>92</v>
      </c>
      <c r="D1" s="13" t="s">
        <v>93</v>
      </c>
      <c r="E1" s="13" t="s">
        <v>94</v>
      </c>
      <c r="F1" s="13" t="s">
        <v>95</v>
      </c>
      <c r="G1" s="14" t="s">
        <v>96</v>
      </c>
      <c r="H1" s="13" t="s">
        <v>97</v>
      </c>
      <c r="I1" s="13" t="s">
        <v>98</v>
      </c>
    </row>
    <row r="2" spans="1:15">
      <c r="A2" s="7">
        <v>46023</v>
      </c>
      <c r="B2" s="5" t="s">
        <v>14</v>
      </c>
      <c r="C2" s="5">
        <v>6</v>
      </c>
      <c r="D2" s="5">
        <v>2</v>
      </c>
      <c r="E2" s="5">
        <v>0</v>
      </c>
      <c r="F2" s="5">
        <v>0</v>
      </c>
      <c r="G2" s="6">
        <f>SUM(F2,E2,C2-D2)</f>
        <v>4</v>
      </c>
      <c r="H2" s="91">
        <f>SUM(G2:G5)</f>
        <v>4</v>
      </c>
      <c r="I2" s="94">
        <f>SUM(G2:G60)</f>
        <v>47</v>
      </c>
    </row>
    <row r="3" spans="1:15">
      <c r="A3" s="7">
        <v>46024</v>
      </c>
      <c r="B3" s="5" t="s">
        <v>14</v>
      </c>
      <c r="C3" s="5">
        <v>2</v>
      </c>
      <c r="D3" s="5">
        <v>4</v>
      </c>
      <c r="E3" s="5">
        <v>0</v>
      </c>
      <c r="F3" s="5">
        <v>0</v>
      </c>
      <c r="G3" s="6">
        <f t="shared" ref="G3:G66" si="0">SUM(F3,E3,C3-D3)</f>
        <v>-2</v>
      </c>
      <c r="H3" s="92"/>
      <c r="I3" s="94"/>
    </row>
    <row r="4" spans="1:15">
      <c r="A4" s="7">
        <v>46025</v>
      </c>
      <c r="B4" s="5" t="s">
        <v>14</v>
      </c>
      <c r="C4" s="5">
        <v>4</v>
      </c>
      <c r="D4" s="5">
        <v>0</v>
      </c>
      <c r="E4" s="5">
        <v>0</v>
      </c>
      <c r="F4" s="5">
        <v>0</v>
      </c>
      <c r="G4" s="6">
        <f t="shared" si="0"/>
        <v>4</v>
      </c>
      <c r="H4" s="92"/>
      <c r="I4" s="94"/>
      <c r="K4" s="87" t="s">
        <v>99</v>
      </c>
      <c r="L4" s="88"/>
      <c r="M4" s="88"/>
      <c r="N4" s="88"/>
      <c r="O4" s="88"/>
    </row>
    <row r="5" spans="1:15">
      <c r="A5" s="7">
        <v>46026</v>
      </c>
      <c r="B5" s="5" t="s">
        <v>14</v>
      </c>
      <c r="C5" s="5">
        <v>1</v>
      </c>
      <c r="D5" s="5">
        <v>3</v>
      </c>
      <c r="E5" s="5">
        <v>0</v>
      </c>
      <c r="F5" s="5">
        <v>0</v>
      </c>
      <c r="G5" s="6">
        <f t="shared" si="0"/>
        <v>-2</v>
      </c>
      <c r="H5" s="93"/>
      <c r="I5" s="94"/>
      <c r="K5" s="88"/>
      <c r="L5" s="88"/>
      <c r="M5" s="88"/>
      <c r="N5" s="88"/>
      <c r="O5" s="88"/>
    </row>
    <row r="6" spans="1:15">
      <c r="A6" s="7">
        <v>46027</v>
      </c>
      <c r="B6" s="5" t="s">
        <v>14</v>
      </c>
      <c r="C6" s="5">
        <v>2</v>
      </c>
      <c r="D6" s="5">
        <v>0</v>
      </c>
      <c r="E6" s="5">
        <v>0</v>
      </c>
      <c r="F6" s="5">
        <v>0</v>
      </c>
      <c r="G6" s="6">
        <f t="shared" si="0"/>
        <v>2</v>
      </c>
      <c r="H6" s="91">
        <f>SUM(G6:G12)</f>
        <v>2</v>
      </c>
      <c r="I6" s="94"/>
      <c r="K6" s="88"/>
      <c r="L6" s="88"/>
      <c r="M6" s="88"/>
      <c r="N6" s="88"/>
      <c r="O6" s="88"/>
    </row>
    <row r="7" spans="1:15">
      <c r="A7" s="7">
        <v>46028</v>
      </c>
      <c r="B7" s="5" t="s">
        <v>14</v>
      </c>
      <c r="C7" s="5">
        <v>2</v>
      </c>
      <c r="D7" s="5">
        <v>2</v>
      </c>
      <c r="E7" s="5">
        <v>0</v>
      </c>
      <c r="F7" s="5">
        <v>0</v>
      </c>
      <c r="G7" s="6">
        <f t="shared" si="0"/>
        <v>0</v>
      </c>
      <c r="H7" s="92"/>
      <c r="I7" s="94"/>
      <c r="K7" s="88"/>
      <c r="L7" s="88"/>
      <c r="M7" s="88"/>
      <c r="N7" s="88"/>
      <c r="O7" s="88"/>
    </row>
    <row r="8" spans="1:15">
      <c r="A8" s="7">
        <v>46029</v>
      </c>
      <c r="B8" s="5" t="s">
        <v>14</v>
      </c>
      <c r="C8" s="5">
        <v>0</v>
      </c>
      <c r="D8" s="5">
        <v>0</v>
      </c>
      <c r="E8" s="5">
        <v>0</v>
      </c>
      <c r="F8" s="5">
        <v>0</v>
      </c>
      <c r="G8" s="6">
        <f t="shared" si="0"/>
        <v>0</v>
      </c>
      <c r="H8" s="92"/>
      <c r="I8" s="94"/>
      <c r="K8" s="88"/>
      <c r="L8" s="88"/>
      <c r="M8" s="88"/>
      <c r="N8" s="88"/>
      <c r="O8" s="88"/>
    </row>
    <row r="9" spans="1:15">
      <c r="A9" s="7">
        <v>46030</v>
      </c>
      <c r="B9" s="5" t="s">
        <v>14</v>
      </c>
      <c r="C9" s="5">
        <v>2</v>
      </c>
      <c r="D9" s="5">
        <v>2</v>
      </c>
      <c r="E9" s="5">
        <v>0</v>
      </c>
      <c r="F9" s="5">
        <v>0</v>
      </c>
      <c r="G9" s="6">
        <f t="shared" si="0"/>
        <v>0</v>
      </c>
      <c r="H9" s="92"/>
      <c r="I9" s="94"/>
      <c r="K9" s="88"/>
      <c r="L9" s="88"/>
      <c r="M9" s="88"/>
      <c r="N9" s="88"/>
      <c r="O9" s="88"/>
    </row>
    <row r="10" spans="1:15">
      <c r="A10" s="7">
        <v>46031</v>
      </c>
      <c r="B10" s="5" t="s">
        <v>14</v>
      </c>
      <c r="C10" s="5">
        <v>1</v>
      </c>
      <c r="D10" s="5">
        <v>1</v>
      </c>
      <c r="E10" s="5">
        <v>0</v>
      </c>
      <c r="F10" s="5">
        <v>0</v>
      </c>
      <c r="G10" s="6">
        <f t="shared" si="0"/>
        <v>0</v>
      </c>
      <c r="H10" s="92"/>
      <c r="I10" s="94"/>
      <c r="K10" s="88"/>
      <c r="L10" s="88"/>
      <c r="M10" s="88"/>
      <c r="N10" s="88"/>
      <c r="O10" s="88"/>
    </row>
    <row r="11" spans="1:15">
      <c r="A11" s="7">
        <v>46032</v>
      </c>
      <c r="B11" s="5" t="s">
        <v>14</v>
      </c>
      <c r="C11" s="5">
        <v>2</v>
      </c>
      <c r="D11" s="5">
        <v>0</v>
      </c>
      <c r="E11" s="5">
        <v>0</v>
      </c>
      <c r="F11" s="5">
        <v>0</v>
      </c>
      <c r="G11" s="6">
        <f t="shared" si="0"/>
        <v>2</v>
      </c>
      <c r="H11" s="92"/>
      <c r="I11" s="94"/>
      <c r="K11" s="88"/>
      <c r="L11" s="88"/>
      <c r="M11" s="88"/>
      <c r="N11" s="88"/>
      <c r="O11" s="88"/>
    </row>
    <row r="12" spans="1:15">
      <c r="A12" s="7">
        <v>46033</v>
      </c>
      <c r="B12" s="5" t="s">
        <v>14</v>
      </c>
      <c r="C12" s="5">
        <v>0</v>
      </c>
      <c r="D12" s="5">
        <v>2</v>
      </c>
      <c r="E12" s="5">
        <v>0</v>
      </c>
      <c r="F12" s="5">
        <v>0</v>
      </c>
      <c r="G12" s="6">
        <f t="shared" si="0"/>
        <v>-2</v>
      </c>
      <c r="H12" s="93"/>
      <c r="I12" s="94"/>
      <c r="K12" s="88"/>
      <c r="L12" s="88"/>
      <c r="M12" s="88"/>
      <c r="N12" s="88"/>
      <c r="O12" s="88"/>
    </row>
    <row r="13" spans="1:15">
      <c r="A13" s="7">
        <v>46034</v>
      </c>
      <c r="B13" s="5" t="s">
        <v>14</v>
      </c>
      <c r="C13" s="5">
        <v>2</v>
      </c>
      <c r="D13" s="5">
        <v>4</v>
      </c>
      <c r="E13" s="5">
        <v>0</v>
      </c>
      <c r="F13" s="5">
        <v>0</v>
      </c>
      <c r="G13" s="6">
        <f t="shared" si="0"/>
        <v>-2</v>
      </c>
      <c r="H13" s="91">
        <f>SUM(G13:G19)</f>
        <v>16</v>
      </c>
      <c r="I13" s="94"/>
    </row>
    <row r="14" spans="1:15">
      <c r="A14" s="7">
        <v>46035</v>
      </c>
      <c r="B14" s="5" t="s">
        <v>14</v>
      </c>
      <c r="C14" s="5">
        <v>4</v>
      </c>
      <c r="D14" s="5">
        <v>1</v>
      </c>
      <c r="E14" s="5">
        <v>0</v>
      </c>
      <c r="F14" s="5">
        <v>0</v>
      </c>
      <c r="G14" s="6">
        <f t="shared" si="0"/>
        <v>3</v>
      </c>
      <c r="H14" s="92"/>
      <c r="I14" s="94"/>
    </row>
    <row r="15" spans="1:15">
      <c r="A15" s="7">
        <v>46036</v>
      </c>
      <c r="B15" s="5" t="s">
        <v>14</v>
      </c>
      <c r="C15" s="5">
        <v>4</v>
      </c>
      <c r="D15" s="5">
        <v>0</v>
      </c>
      <c r="E15" s="5">
        <v>0</v>
      </c>
      <c r="F15" s="5">
        <v>0</v>
      </c>
      <c r="G15" s="6">
        <f t="shared" si="0"/>
        <v>4</v>
      </c>
      <c r="H15" s="92"/>
      <c r="I15" s="94"/>
    </row>
    <row r="16" spans="1:15">
      <c r="A16" s="7">
        <v>46037</v>
      </c>
      <c r="B16" s="5" t="s">
        <v>14</v>
      </c>
      <c r="C16" s="5">
        <v>4</v>
      </c>
      <c r="D16" s="5">
        <v>1</v>
      </c>
      <c r="E16" s="5">
        <v>0</v>
      </c>
      <c r="F16" s="5">
        <v>0</v>
      </c>
      <c r="G16" s="6">
        <f t="shared" si="0"/>
        <v>3</v>
      </c>
      <c r="H16" s="92"/>
      <c r="I16" s="94"/>
    </row>
    <row r="17" spans="1:9">
      <c r="A17" s="7">
        <v>46038</v>
      </c>
      <c r="B17" s="5" t="s">
        <v>14</v>
      </c>
      <c r="C17" s="5">
        <v>2</v>
      </c>
      <c r="D17" s="5">
        <v>1</v>
      </c>
      <c r="E17" s="5">
        <v>0</v>
      </c>
      <c r="F17" s="5">
        <v>0</v>
      </c>
      <c r="G17" s="6">
        <f t="shared" si="0"/>
        <v>1</v>
      </c>
      <c r="H17" s="92"/>
      <c r="I17" s="94"/>
    </row>
    <row r="18" spans="1:9">
      <c r="A18" s="7">
        <v>46039</v>
      </c>
      <c r="B18" s="5" t="s">
        <v>14</v>
      </c>
      <c r="C18" s="5">
        <v>6</v>
      </c>
      <c r="D18" s="5">
        <v>2</v>
      </c>
      <c r="E18" s="5">
        <v>0</v>
      </c>
      <c r="F18" s="5">
        <v>0</v>
      </c>
      <c r="G18" s="6">
        <f t="shared" si="0"/>
        <v>4</v>
      </c>
      <c r="H18" s="92"/>
      <c r="I18" s="94"/>
    </row>
    <row r="19" spans="1:9">
      <c r="A19" s="7">
        <v>46040</v>
      </c>
      <c r="B19" s="5" t="s">
        <v>14</v>
      </c>
      <c r="C19" s="5">
        <v>7</v>
      </c>
      <c r="D19" s="5">
        <v>4</v>
      </c>
      <c r="E19" s="5">
        <v>0</v>
      </c>
      <c r="F19" s="5">
        <v>0</v>
      </c>
      <c r="G19" s="6">
        <f t="shared" si="0"/>
        <v>3</v>
      </c>
      <c r="H19" s="93"/>
      <c r="I19" s="94"/>
    </row>
    <row r="20" spans="1:9">
      <c r="A20" s="7">
        <v>46041</v>
      </c>
      <c r="B20" s="5" t="s">
        <v>14</v>
      </c>
      <c r="C20" s="5">
        <v>2</v>
      </c>
      <c r="D20" s="5">
        <v>2</v>
      </c>
      <c r="E20" s="5">
        <v>0</v>
      </c>
      <c r="F20" s="5">
        <v>0</v>
      </c>
      <c r="G20" s="6">
        <f t="shared" si="0"/>
        <v>0</v>
      </c>
      <c r="H20" s="91">
        <f>SUM(G20:G26)</f>
        <v>0</v>
      </c>
      <c r="I20" s="94"/>
    </row>
    <row r="21" spans="1:9">
      <c r="A21" s="7">
        <v>46042</v>
      </c>
      <c r="B21" s="5" t="s">
        <v>14</v>
      </c>
      <c r="C21" s="5">
        <v>4</v>
      </c>
      <c r="D21" s="5">
        <v>4</v>
      </c>
      <c r="E21" s="5">
        <v>0</v>
      </c>
      <c r="F21" s="5">
        <v>0</v>
      </c>
      <c r="G21" s="6">
        <f t="shared" si="0"/>
        <v>0</v>
      </c>
      <c r="H21" s="92"/>
      <c r="I21" s="94"/>
    </row>
    <row r="22" spans="1:9">
      <c r="A22" s="7">
        <v>46043</v>
      </c>
      <c r="B22" s="5" t="s">
        <v>14</v>
      </c>
      <c r="C22" s="5">
        <v>1</v>
      </c>
      <c r="D22" s="5">
        <v>2</v>
      </c>
      <c r="E22" s="5">
        <v>0</v>
      </c>
      <c r="F22" s="5">
        <v>0</v>
      </c>
      <c r="G22" s="6">
        <f t="shared" si="0"/>
        <v>-1</v>
      </c>
      <c r="H22" s="92"/>
      <c r="I22" s="94"/>
    </row>
    <row r="23" spans="1:9">
      <c r="A23" s="7">
        <v>46044</v>
      </c>
      <c r="B23" s="5" t="s">
        <v>14</v>
      </c>
      <c r="C23" s="5">
        <v>2</v>
      </c>
      <c r="D23" s="5">
        <v>0</v>
      </c>
      <c r="E23" s="5">
        <v>0</v>
      </c>
      <c r="F23" s="5">
        <v>0</v>
      </c>
      <c r="G23" s="6">
        <f t="shared" si="0"/>
        <v>2</v>
      </c>
      <c r="H23" s="92"/>
      <c r="I23" s="94"/>
    </row>
    <row r="24" spans="1:9">
      <c r="A24" s="7">
        <v>46045</v>
      </c>
      <c r="B24" s="5" t="s">
        <v>14</v>
      </c>
      <c r="C24" s="5">
        <v>1</v>
      </c>
      <c r="D24" s="5">
        <v>0</v>
      </c>
      <c r="E24" s="5">
        <v>0</v>
      </c>
      <c r="F24" s="5">
        <v>0</v>
      </c>
      <c r="G24" s="6">
        <f t="shared" si="0"/>
        <v>1</v>
      </c>
      <c r="H24" s="92"/>
      <c r="I24" s="94"/>
    </row>
    <row r="25" spans="1:9">
      <c r="A25" s="7">
        <v>46046</v>
      </c>
      <c r="B25" s="5" t="s">
        <v>14</v>
      </c>
      <c r="C25" s="5">
        <v>2</v>
      </c>
      <c r="D25" s="5">
        <v>2</v>
      </c>
      <c r="E25" s="5">
        <v>0</v>
      </c>
      <c r="F25" s="5">
        <v>0</v>
      </c>
      <c r="G25" s="6">
        <f t="shared" si="0"/>
        <v>0</v>
      </c>
      <c r="H25" s="92"/>
      <c r="I25" s="94"/>
    </row>
    <row r="26" spans="1:9">
      <c r="A26" s="7">
        <v>46047</v>
      </c>
      <c r="B26" s="5" t="s">
        <v>14</v>
      </c>
      <c r="C26" s="5">
        <v>2</v>
      </c>
      <c r="D26" s="5">
        <v>4</v>
      </c>
      <c r="E26" s="5">
        <v>0</v>
      </c>
      <c r="F26" s="5">
        <v>0</v>
      </c>
      <c r="G26" s="6">
        <f t="shared" si="0"/>
        <v>-2</v>
      </c>
      <c r="H26" s="93"/>
      <c r="I26" s="94"/>
    </row>
    <row r="27" spans="1:9">
      <c r="A27" s="7">
        <v>46048</v>
      </c>
      <c r="B27" s="5" t="s">
        <v>14</v>
      </c>
      <c r="C27" s="5">
        <v>1</v>
      </c>
      <c r="D27" s="5">
        <v>1</v>
      </c>
      <c r="E27" s="5">
        <v>0</v>
      </c>
      <c r="F27" s="5">
        <v>0</v>
      </c>
      <c r="G27" s="6">
        <f t="shared" si="0"/>
        <v>0</v>
      </c>
      <c r="H27" s="91">
        <f>SUM(G27:G33)</f>
        <v>-2</v>
      </c>
      <c r="I27" s="94"/>
    </row>
    <row r="28" spans="1:9">
      <c r="A28" s="7">
        <v>46049</v>
      </c>
      <c r="B28" s="5" t="s">
        <v>14</v>
      </c>
      <c r="C28" s="5">
        <v>3</v>
      </c>
      <c r="D28" s="5">
        <v>2</v>
      </c>
      <c r="E28" s="5">
        <v>1</v>
      </c>
      <c r="F28" s="5">
        <v>0</v>
      </c>
      <c r="G28" s="6">
        <f t="shared" si="0"/>
        <v>2</v>
      </c>
      <c r="H28" s="92"/>
      <c r="I28" s="94"/>
    </row>
    <row r="29" spans="1:9">
      <c r="A29" s="7">
        <v>46050</v>
      </c>
      <c r="B29" s="5" t="s">
        <v>14</v>
      </c>
      <c r="C29" s="5">
        <v>2</v>
      </c>
      <c r="D29" s="5">
        <v>2</v>
      </c>
      <c r="E29" s="5">
        <v>0</v>
      </c>
      <c r="F29" s="5">
        <v>0</v>
      </c>
      <c r="G29" s="6">
        <f t="shared" si="0"/>
        <v>0</v>
      </c>
      <c r="H29" s="92"/>
      <c r="I29" s="94"/>
    </row>
    <row r="30" spans="1:9">
      <c r="A30" s="7">
        <v>46051</v>
      </c>
      <c r="B30" s="5" t="s">
        <v>14</v>
      </c>
      <c r="C30" s="5">
        <v>2</v>
      </c>
      <c r="D30" s="5">
        <v>2</v>
      </c>
      <c r="E30" s="5">
        <v>0</v>
      </c>
      <c r="F30" s="5">
        <v>0</v>
      </c>
      <c r="G30" s="6">
        <f t="shared" si="0"/>
        <v>0</v>
      </c>
      <c r="H30" s="92"/>
      <c r="I30" s="94"/>
    </row>
    <row r="31" spans="1:9">
      <c r="A31" s="7">
        <v>46052</v>
      </c>
      <c r="B31" s="5" t="s">
        <v>14</v>
      </c>
      <c r="C31" s="5">
        <v>0</v>
      </c>
      <c r="D31" s="5">
        <v>3</v>
      </c>
      <c r="E31" s="5">
        <v>0</v>
      </c>
      <c r="F31" s="5">
        <v>0</v>
      </c>
      <c r="G31" s="6">
        <f t="shared" si="0"/>
        <v>-3</v>
      </c>
      <c r="H31" s="92"/>
      <c r="I31" s="94"/>
    </row>
    <row r="32" spans="1:9">
      <c r="A32" s="7">
        <v>46053</v>
      </c>
      <c r="B32" s="5" t="s">
        <v>14</v>
      </c>
      <c r="C32" s="5">
        <v>1</v>
      </c>
      <c r="D32" s="5">
        <v>2</v>
      </c>
      <c r="E32" s="5">
        <v>0</v>
      </c>
      <c r="F32" s="5">
        <v>0</v>
      </c>
      <c r="G32" s="6">
        <f t="shared" si="0"/>
        <v>-1</v>
      </c>
      <c r="H32" s="92"/>
      <c r="I32" s="94"/>
    </row>
    <row r="33" spans="1:9">
      <c r="A33" s="7">
        <v>46054</v>
      </c>
      <c r="B33" s="5" t="s">
        <v>14</v>
      </c>
      <c r="C33" s="5">
        <v>1</v>
      </c>
      <c r="D33" s="5">
        <v>1</v>
      </c>
      <c r="E33" s="5">
        <v>0</v>
      </c>
      <c r="F33" s="5">
        <v>0</v>
      </c>
      <c r="G33" s="6">
        <f t="shared" si="0"/>
        <v>0</v>
      </c>
      <c r="H33" s="93"/>
      <c r="I33" s="94"/>
    </row>
    <row r="34" spans="1:9">
      <c r="A34" s="7">
        <v>46055</v>
      </c>
      <c r="B34" s="5" t="s">
        <v>14</v>
      </c>
      <c r="C34" s="5">
        <v>0</v>
      </c>
      <c r="D34" s="5">
        <v>2</v>
      </c>
      <c r="E34" s="5">
        <v>0</v>
      </c>
      <c r="F34" s="5">
        <v>0</v>
      </c>
      <c r="G34" s="6">
        <f t="shared" si="0"/>
        <v>-2</v>
      </c>
      <c r="H34" s="91">
        <f>SUM(G34:G40)</f>
        <v>-6</v>
      </c>
      <c r="I34" s="94"/>
    </row>
    <row r="35" spans="1:9">
      <c r="A35" s="7">
        <v>46056</v>
      </c>
      <c r="B35" s="5" t="s">
        <v>14</v>
      </c>
      <c r="C35" s="5">
        <v>2</v>
      </c>
      <c r="D35" s="5">
        <v>0</v>
      </c>
      <c r="E35" s="5">
        <v>0</v>
      </c>
      <c r="F35" s="5">
        <v>0</v>
      </c>
      <c r="G35" s="6">
        <f t="shared" si="0"/>
        <v>2</v>
      </c>
      <c r="H35" s="92"/>
      <c r="I35" s="94"/>
    </row>
    <row r="36" spans="1:9">
      <c r="A36" s="7">
        <v>46057</v>
      </c>
      <c r="B36" s="5" t="s">
        <v>14</v>
      </c>
      <c r="C36" s="5">
        <v>0</v>
      </c>
      <c r="D36" s="5">
        <v>1</v>
      </c>
      <c r="E36" s="5">
        <v>0</v>
      </c>
      <c r="F36" s="5">
        <v>0</v>
      </c>
      <c r="G36" s="6">
        <f t="shared" si="0"/>
        <v>-1</v>
      </c>
      <c r="H36" s="92"/>
      <c r="I36" s="94"/>
    </row>
    <row r="37" spans="1:9">
      <c r="A37" s="7">
        <v>46058</v>
      </c>
      <c r="B37" s="5" t="s">
        <v>14</v>
      </c>
      <c r="C37" s="5">
        <v>1</v>
      </c>
      <c r="D37" s="5">
        <v>1</v>
      </c>
      <c r="E37" s="5">
        <v>0</v>
      </c>
      <c r="F37" s="5">
        <v>0</v>
      </c>
      <c r="G37" s="6">
        <f t="shared" si="0"/>
        <v>0</v>
      </c>
      <c r="H37" s="92"/>
      <c r="I37" s="94"/>
    </row>
    <row r="38" spans="1:9">
      <c r="A38" s="7">
        <v>46059</v>
      </c>
      <c r="B38" s="5" t="s">
        <v>14</v>
      </c>
      <c r="C38" s="5">
        <v>2</v>
      </c>
      <c r="D38" s="5">
        <v>2</v>
      </c>
      <c r="E38" s="5">
        <v>0</v>
      </c>
      <c r="F38" s="5">
        <v>0</v>
      </c>
      <c r="G38" s="6">
        <f t="shared" si="0"/>
        <v>0</v>
      </c>
      <c r="H38" s="92"/>
      <c r="I38" s="94"/>
    </row>
    <row r="39" spans="1:9">
      <c r="A39" s="7">
        <v>46060</v>
      </c>
      <c r="B39" s="5" t="s">
        <v>14</v>
      </c>
      <c r="C39" s="5">
        <v>0</v>
      </c>
      <c r="D39" s="5">
        <v>2</v>
      </c>
      <c r="E39" s="5">
        <v>0</v>
      </c>
      <c r="F39" s="5">
        <v>0</v>
      </c>
      <c r="G39" s="6">
        <f t="shared" si="0"/>
        <v>-2</v>
      </c>
      <c r="H39" s="92"/>
      <c r="I39" s="94"/>
    </row>
    <row r="40" spans="1:9">
      <c r="A40" s="7">
        <v>46061</v>
      </c>
      <c r="B40" s="5" t="s">
        <v>14</v>
      </c>
      <c r="C40" s="5">
        <v>1</v>
      </c>
      <c r="D40" s="5">
        <v>4</v>
      </c>
      <c r="E40" s="5">
        <v>0</v>
      </c>
      <c r="F40" s="5">
        <v>0</v>
      </c>
      <c r="G40" s="6">
        <f t="shared" si="0"/>
        <v>-3</v>
      </c>
      <c r="H40" s="93"/>
      <c r="I40" s="94"/>
    </row>
    <row r="41" spans="1:9">
      <c r="A41" s="7">
        <v>46062</v>
      </c>
      <c r="B41" s="5" t="s">
        <v>14</v>
      </c>
      <c r="C41" s="5">
        <v>1</v>
      </c>
      <c r="D41" s="5">
        <v>2</v>
      </c>
      <c r="E41" s="5">
        <v>0</v>
      </c>
      <c r="F41" s="5">
        <v>0</v>
      </c>
      <c r="G41" s="6">
        <f t="shared" si="0"/>
        <v>-1</v>
      </c>
      <c r="H41" s="91">
        <f>SUM(G41:G47)</f>
        <v>4</v>
      </c>
      <c r="I41" s="94"/>
    </row>
    <row r="42" spans="1:9">
      <c r="A42" s="7">
        <v>46063</v>
      </c>
      <c r="B42" s="5" t="s">
        <v>14</v>
      </c>
      <c r="C42" s="5">
        <v>3</v>
      </c>
      <c r="D42" s="5">
        <v>4</v>
      </c>
      <c r="E42" s="5">
        <v>0</v>
      </c>
      <c r="F42" s="5">
        <v>0</v>
      </c>
      <c r="G42" s="6">
        <f t="shared" si="0"/>
        <v>-1</v>
      </c>
      <c r="H42" s="92"/>
      <c r="I42" s="94"/>
    </row>
    <row r="43" spans="1:9">
      <c r="A43" s="7">
        <v>46064</v>
      </c>
      <c r="B43" s="5" t="s">
        <v>14</v>
      </c>
      <c r="C43" s="5">
        <v>5</v>
      </c>
      <c r="D43" s="5">
        <v>2</v>
      </c>
      <c r="E43" s="5">
        <v>0</v>
      </c>
      <c r="F43" s="5">
        <v>0</v>
      </c>
      <c r="G43" s="6">
        <f t="shared" si="0"/>
        <v>3</v>
      </c>
      <c r="H43" s="92"/>
      <c r="I43" s="94"/>
    </row>
    <row r="44" spans="1:9">
      <c r="A44" s="7">
        <v>46065</v>
      </c>
      <c r="B44" s="5" t="s">
        <v>14</v>
      </c>
      <c r="C44" s="5">
        <v>1</v>
      </c>
      <c r="D44" s="5">
        <v>0</v>
      </c>
      <c r="E44" s="5">
        <v>0</v>
      </c>
      <c r="F44" s="5">
        <v>0</v>
      </c>
      <c r="G44" s="6">
        <f t="shared" si="0"/>
        <v>1</v>
      </c>
      <c r="H44" s="92"/>
      <c r="I44" s="94"/>
    </row>
    <row r="45" spans="1:9">
      <c r="A45" s="7">
        <v>46066</v>
      </c>
      <c r="B45" s="5" t="s">
        <v>14</v>
      </c>
      <c r="C45" s="5">
        <v>0</v>
      </c>
      <c r="D45" s="5">
        <v>1</v>
      </c>
      <c r="E45" s="5">
        <v>0</v>
      </c>
      <c r="F45" s="5">
        <v>0</v>
      </c>
      <c r="G45" s="6">
        <f t="shared" si="0"/>
        <v>-1</v>
      </c>
      <c r="H45" s="92"/>
      <c r="I45" s="94"/>
    </row>
    <row r="46" spans="1:9">
      <c r="A46" s="7">
        <v>46067</v>
      </c>
      <c r="B46" s="5" t="s">
        <v>14</v>
      </c>
      <c r="C46" s="5">
        <v>4</v>
      </c>
      <c r="D46" s="5">
        <v>2</v>
      </c>
      <c r="E46" s="5">
        <v>0</v>
      </c>
      <c r="F46" s="5">
        <v>0</v>
      </c>
      <c r="G46" s="6">
        <f t="shared" si="0"/>
        <v>2</v>
      </c>
      <c r="H46" s="92"/>
      <c r="I46" s="94"/>
    </row>
    <row r="47" spans="1:9">
      <c r="A47" s="7">
        <v>46068</v>
      </c>
      <c r="B47" s="5" t="s">
        <v>14</v>
      </c>
      <c r="C47" s="5">
        <v>1</v>
      </c>
      <c r="D47" s="5">
        <v>0</v>
      </c>
      <c r="E47" s="5">
        <v>0</v>
      </c>
      <c r="F47" s="5">
        <v>0</v>
      </c>
      <c r="G47" s="6">
        <f t="shared" si="0"/>
        <v>1</v>
      </c>
      <c r="H47" s="93"/>
      <c r="I47" s="94"/>
    </row>
    <row r="48" spans="1:9">
      <c r="A48" s="7">
        <v>46069</v>
      </c>
      <c r="B48" s="5" t="s">
        <v>14</v>
      </c>
      <c r="C48" s="5">
        <v>12</v>
      </c>
      <c r="D48" s="5">
        <v>2</v>
      </c>
      <c r="E48" s="5">
        <v>0</v>
      </c>
      <c r="F48" s="5">
        <v>0</v>
      </c>
      <c r="G48" s="6">
        <f t="shared" si="0"/>
        <v>10</v>
      </c>
      <c r="H48" s="91">
        <f>SUM(G48:G54)</f>
        <v>26</v>
      </c>
      <c r="I48" s="94"/>
    </row>
    <row r="49" spans="1:9">
      <c r="A49" s="7">
        <v>46070</v>
      </c>
      <c r="B49" s="5" t="s">
        <v>14</v>
      </c>
      <c r="C49" s="5">
        <v>3</v>
      </c>
      <c r="D49" s="5">
        <v>3</v>
      </c>
      <c r="E49" s="5">
        <v>0</v>
      </c>
      <c r="F49" s="5">
        <v>0</v>
      </c>
      <c r="G49" s="6">
        <f t="shared" si="0"/>
        <v>0</v>
      </c>
      <c r="H49" s="92"/>
      <c r="I49" s="94"/>
    </row>
    <row r="50" spans="1:9">
      <c r="A50" s="7">
        <v>46071</v>
      </c>
      <c r="B50" s="5" t="s">
        <v>14</v>
      </c>
      <c r="C50" s="5">
        <v>7</v>
      </c>
      <c r="D50" s="5">
        <v>0</v>
      </c>
      <c r="E50" s="5">
        <v>0</v>
      </c>
      <c r="F50" s="5">
        <v>0</v>
      </c>
      <c r="G50" s="6">
        <f t="shared" si="0"/>
        <v>7</v>
      </c>
      <c r="H50" s="92"/>
      <c r="I50" s="94"/>
    </row>
    <row r="51" spans="1:9">
      <c r="A51" s="7">
        <v>46072</v>
      </c>
      <c r="B51" s="5" t="s">
        <v>14</v>
      </c>
      <c r="C51" s="5">
        <v>5</v>
      </c>
      <c r="D51" s="5">
        <v>1</v>
      </c>
      <c r="E51" s="5">
        <v>0</v>
      </c>
      <c r="F51" s="5">
        <v>0</v>
      </c>
      <c r="G51" s="6">
        <f t="shared" si="0"/>
        <v>4</v>
      </c>
      <c r="H51" s="92"/>
      <c r="I51" s="94"/>
    </row>
    <row r="52" spans="1:9">
      <c r="A52" s="7">
        <v>46073</v>
      </c>
      <c r="B52" s="5" t="s">
        <v>14</v>
      </c>
      <c r="C52" s="5">
        <v>4</v>
      </c>
      <c r="D52" s="5">
        <v>3</v>
      </c>
      <c r="E52" s="5">
        <v>0</v>
      </c>
      <c r="F52" s="5">
        <v>0</v>
      </c>
      <c r="G52" s="6">
        <f t="shared" si="0"/>
        <v>1</v>
      </c>
      <c r="H52" s="92"/>
      <c r="I52" s="94"/>
    </row>
    <row r="53" spans="1:9">
      <c r="A53" s="7">
        <v>46074</v>
      </c>
      <c r="B53" s="5" t="s">
        <v>14</v>
      </c>
      <c r="C53" s="5">
        <v>4</v>
      </c>
      <c r="D53" s="5">
        <v>1</v>
      </c>
      <c r="E53" s="5">
        <v>0</v>
      </c>
      <c r="F53" s="5">
        <v>0</v>
      </c>
      <c r="G53" s="6">
        <f t="shared" si="0"/>
        <v>3</v>
      </c>
      <c r="H53" s="92"/>
      <c r="I53" s="94"/>
    </row>
    <row r="54" spans="1:9">
      <c r="A54" s="7">
        <v>46075</v>
      </c>
      <c r="B54" s="5" t="s">
        <v>14</v>
      </c>
      <c r="C54" s="5">
        <v>3</v>
      </c>
      <c r="D54" s="5">
        <v>2</v>
      </c>
      <c r="E54" s="5">
        <v>0</v>
      </c>
      <c r="F54" s="5">
        <v>0</v>
      </c>
      <c r="G54" s="6">
        <f t="shared" si="0"/>
        <v>1</v>
      </c>
      <c r="H54" s="93"/>
      <c r="I54" s="94"/>
    </row>
    <row r="55" spans="1:9">
      <c r="A55" s="7">
        <v>46076</v>
      </c>
      <c r="B55" s="5" t="s">
        <v>14</v>
      </c>
      <c r="C55" s="5">
        <v>5</v>
      </c>
      <c r="D55" s="5">
        <v>0</v>
      </c>
      <c r="E55" s="5">
        <v>0</v>
      </c>
      <c r="F55" s="5">
        <v>0</v>
      </c>
      <c r="G55" s="6">
        <f t="shared" si="0"/>
        <v>5</v>
      </c>
      <c r="H55" s="91">
        <f>SUM(G55:G61)</f>
        <v>3</v>
      </c>
      <c r="I55" s="94"/>
    </row>
    <row r="56" spans="1:9">
      <c r="A56" s="7">
        <v>46077</v>
      </c>
      <c r="B56" s="5" t="s">
        <v>14</v>
      </c>
      <c r="C56" s="5">
        <v>1</v>
      </c>
      <c r="D56" s="5">
        <v>2</v>
      </c>
      <c r="E56" s="5">
        <v>0</v>
      </c>
      <c r="F56" s="5">
        <v>0</v>
      </c>
      <c r="G56" s="6">
        <f t="shared" si="0"/>
        <v>-1</v>
      </c>
      <c r="H56" s="92"/>
      <c r="I56" s="94"/>
    </row>
    <row r="57" spans="1:9">
      <c r="A57" s="7">
        <v>46078</v>
      </c>
      <c r="B57" s="5" t="s">
        <v>14</v>
      </c>
      <c r="C57" s="5">
        <v>3</v>
      </c>
      <c r="D57" s="5">
        <v>5</v>
      </c>
      <c r="E57" s="5">
        <v>0</v>
      </c>
      <c r="F57" s="5">
        <v>0</v>
      </c>
      <c r="G57" s="6">
        <f t="shared" si="0"/>
        <v>-2</v>
      </c>
      <c r="H57" s="92"/>
      <c r="I57" s="94"/>
    </row>
    <row r="58" spans="1:9">
      <c r="A58" s="7">
        <v>46079</v>
      </c>
      <c r="B58" s="5" t="s">
        <v>14</v>
      </c>
      <c r="C58" s="5">
        <v>1</v>
      </c>
      <c r="D58" s="5">
        <v>3</v>
      </c>
      <c r="E58" s="5">
        <v>0</v>
      </c>
      <c r="F58" s="5">
        <v>0</v>
      </c>
      <c r="G58" s="6">
        <f t="shared" si="0"/>
        <v>-2</v>
      </c>
      <c r="H58" s="92"/>
      <c r="I58" s="94"/>
    </row>
    <row r="59" spans="1:9">
      <c r="A59" s="7">
        <v>46080</v>
      </c>
      <c r="B59" s="5" t="s">
        <v>14</v>
      </c>
      <c r="C59" s="5">
        <v>4</v>
      </c>
      <c r="D59" s="5">
        <v>2</v>
      </c>
      <c r="E59" s="5">
        <v>0</v>
      </c>
      <c r="F59" s="5">
        <v>0</v>
      </c>
      <c r="G59" s="6">
        <f t="shared" si="0"/>
        <v>2</v>
      </c>
      <c r="H59" s="92"/>
      <c r="I59" s="94"/>
    </row>
    <row r="60" spans="1:9">
      <c r="A60" s="7">
        <v>46081</v>
      </c>
      <c r="B60" s="5" t="s">
        <v>14</v>
      </c>
      <c r="C60" s="5">
        <v>2</v>
      </c>
      <c r="D60" s="5">
        <v>1</v>
      </c>
      <c r="E60" s="5">
        <v>0</v>
      </c>
      <c r="F60" s="5">
        <v>0</v>
      </c>
      <c r="G60" s="6">
        <f t="shared" si="0"/>
        <v>1</v>
      </c>
      <c r="H60" s="92"/>
      <c r="I60" s="94"/>
    </row>
    <row r="61" spans="1:9">
      <c r="A61" s="7">
        <v>46082</v>
      </c>
      <c r="B61" s="5" t="s">
        <v>14</v>
      </c>
      <c r="C61" s="5">
        <v>2</v>
      </c>
      <c r="D61" s="5">
        <v>2</v>
      </c>
      <c r="E61" s="5">
        <v>0</v>
      </c>
      <c r="F61" s="5">
        <v>0</v>
      </c>
      <c r="G61" s="6">
        <f t="shared" si="0"/>
        <v>0</v>
      </c>
      <c r="H61" s="93"/>
      <c r="I61" s="94">
        <f>SUM(G61:G91)</f>
        <v>70</v>
      </c>
    </row>
    <row r="62" spans="1:9">
      <c r="A62" s="7">
        <v>46083</v>
      </c>
      <c r="B62" s="5" t="s">
        <v>14</v>
      </c>
      <c r="C62" s="5">
        <v>5</v>
      </c>
      <c r="D62" s="5">
        <v>2</v>
      </c>
      <c r="E62" s="5">
        <v>0</v>
      </c>
      <c r="F62" s="5">
        <v>0</v>
      </c>
      <c r="G62" s="6">
        <f t="shared" si="0"/>
        <v>3</v>
      </c>
      <c r="H62" s="91">
        <f>SUM(G62:G68)</f>
        <v>7</v>
      </c>
      <c r="I62" s="94"/>
    </row>
    <row r="63" spans="1:9">
      <c r="A63" s="7">
        <v>46084</v>
      </c>
      <c r="B63" s="5" t="s">
        <v>14</v>
      </c>
      <c r="C63" s="5">
        <v>3</v>
      </c>
      <c r="D63" s="5">
        <v>2</v>
      </c>
      <c r="E63" s="5">
        <v>0</v>
      </c>
      <c r="F63" s="5">
        <v>0</v>
      </c>
      <c r="G63" s="6">
        <f t="shared" si="0"/>
        <v>1</v>
      </c>
      <c r="H63" s="92"/>
      <c r="I63" s="94"/>
    </row>
    <row r="64" spans="1:9">
      <c r="A64" s="7">
        <v>46085</v>
      </c>
      <c r="B64" s="5" t="s">
        <v>14</v>
      </c>
      <c r="C64" s="5">
        <v>3</v>
      </c>
      <c r="D64" s="5">
        <v>2</v>
      </c>
      <c r="E64" s="5">
        <v>0</v>
      </c>
      <c r="F64" s="5">
        <v>0</v>
      </c>
      <c r="G64" s="6">
        <f t="shared" si="0"/>
        <v>1</v>
      </c>
      <c r="H64" s="92"/>
      <c r="I64" s="94"/>
    </row>
    <row r="65" spans="1:9">
      <c r="A65" s="7">
        <v>46086</v>
      </c>
      <c r="B65" s="5" t="s">
        <v>14</v>
      </c>
      <c r="C65" s="5">
        <v>2</v>
      </c>
      <c r="D65" s="5">
        <v>2</v>
      </c>
      <c r="E65" s="5">
        <v>1</v>
      </c>
      <c r="F65" s="5">
        <v>0</v>
      </c>
      <c r="G65" s="6">
        <f t="shared" si="0"/>
        <v>1</v>
      </c>
      <c r="H65" s="92"/>
      <c r="I65" s="94"/>
    </row>
    <row r="66" spans="1:9">
      <c r="A66" s="7">
        <v>46087</v>
      </c>
      <c r="B66" s="5" t="s">
        <v>14</v>
      </c>
      <c r="C66" s="5">
        <v>1</v>
      </c>
      <c r="D66" s="5">
        <v>2</v>
      </c>
      <c r="E66" s="5">
        <v>0</v>
      </c>
      <c r="F66" s="5">
        <v>0</v>
      </c>
      <c r="G66" s="6">
        <f t="shared" si="0"/>
        <v>-1</v>
      </c>
      <c r="H66" s="92"/>
      <c r="I66" s="94"/>
    </row>
    <row r="67" spans="1:9">
      <c r="A67" s="7">
        <v>46088</v>
      </c>
      <c r="B67" s="5" t="s">
        <v>14</v>
      </c>
      <c r="C67" s="5">
        <v>5</v>
      </c>
      <c r="D67" s="5">
        <v>3</v>
      </c>
      <c r="E67" s="5">
        <v>0</v>
      </c>
      <c r="F67" s="5">
        <v>0</v>
      </c>
      <c r="G67" s="6">
        <f t="shared" ref="G67:G130" si="1">SUM(F67,E67,C67-D67)</f>
        <v>2</v>
      </c>
      <c r="H67" s="92"/>
      <c r="I67" s="94"/>
    </row>
    <row r="68" spans="1:9">
      <c r="A68" s="7">
        <v>46089</v>
      </c>
      <c r="B68" s="5" t="s">
        <v>14</v>
      </c>
      <c r="C68" s="5">
        <v>2</v>
      </c>
      <c r="D68" s="5">
        <v>2</v>
      </c>
      <c r="E68" s="5">
        <v>0</v>
      </c>
      <c r="F68" s="5">
        <v>0</v>
      </c>
      <c r="G68" s="6">
        <f t="shared" si="1"/>
        <v>0</v>
      </c>
      <c r="H68" s="93"/>
      <c r="I68" s="94"/>
    </row>
    <row r="69" spans="1:9">
      <c r="A69" s="7">
        <v>46090</v>
      </c>
      <c r="B69" s="5" t="s">
        <v>14</v>
      </c>
      <c r="C69" s="5">
        <v>1</v>
      </c>
      <c r="D69" s="5">
        <v>0</v>
      </c>
      <c r="E69" s="5">
        <v>0</v>
      </c>
      <c r="F69" s="5">
        <v>0</v>
      </c>
      <c r="G69" s="6">
        <f t="shared" si="1"/>
        <v>1</v>
      </c>
      <c r="H69" s="91">
        <f>SUM(G69:G75)</f>
        <v>11</v>
      </c>
      <c r="I69" s="94"/>
    </row>
    <row r="70" spans="1:9">
      <c r="A70" s="7">
        <v>46091</v>
      </c>
      <c r="B70" s="5" t="s">
        <v>14</v>
      </c>
      <c r="C70" s="5">
        <v>5</v>
      </c>
      <c r="D70" s="5">
        <v>0</v>
      </c>
      <c r="E70" s="5">
        <v>0</v>
      </c>
      <c r="F70" s="5">
        <v>0</v>
      </c>
      <c r="G70" s="6">
        <f t="shared" si="1"/>
        <v>5</v>
      </c>
      <c r="H70" s="92"/>
      <c r="I70" s="94"/>
    </row>
    <row r="71" spans="1:9">
      <c r="A71" s="7">
        <v>46092</v>
      </c>
      <c r="B71" s="5" t="s">
        <v>14</v>
      </c>
      <c r="C71" s="5">
        <v>2</v>
      </c>
      <c r="D71" s="5">
        <v>1</v>
      </c>
      <c r="E71" s="5">
        <v>0</v>
      </c>
      <c r="F71" s="5">
        <v>0</v>
      </c>
      <c r="G71" s="6">
        <f t="shared" si="1"/>
        <v>1</v>
      </c>
      <c r="H71" s="92"/>
      <c r="I71" s="94"/>
    </row>
    <row r="72" spans="1:9">
      <c r="A72" s="7">
        <v>46093</v>
      </c>
      <c r="B72" s="5" t="s">
        <v>14</v>
      </c>
      <c r="C72" s="5">
        <v>3</v>
      </c>
      <c r="D72" s="5">
        <v>2</v>
      </c>
      <c r="E72" s="5">
        <v>0</v>
      </c>
      <c r="F72" s="5">
        <v>0</v>
      </c>
      <c r="G72" s="6">
        <f t="shared" si="1"/>
        <v>1</v>
      </c>
      <c r="H72" s="92"/>
      <c r="I72" s="94"/>
    </row>
    <row r="73" spans="1:9">
      <c r="A73" s="7">
        <v>46094</v>
      </c>
      <c r="B73" s="5" t="s">
        <v>14</v>
      </c>
      <c r="C73" s="5">
        <v>3</v>
      </c>
      <c r="D73" s="5">
        <v>1</v>
      </c>
      <c r="E73" s="5">
        <v>0</v>
      </c>
      <c r="F73" s="5">
        <v>0</v>
      </c>
      <c r="G73" s="6">
        <f t="shared" si="1"/>
        <v>2</v>
      </c>
      <c r="H73" s="92"/>
      <c r="I73" s="94"/>
    </row>
    <row r="74" spans="1:9">
      <c r="A74" s="7">
        <v>46095</v>
      </c>
      <c r="B74" s="5" t="s">
        <v>14</v>
      </c>
      <c r="C74" s="5">
        <v>3</v>
      </c>
      <c r="D74" s="5">
        <v>2</v>
      </c>
      <c r="E74" s="5">
        <v>0</v>
      </c>
      <c r="F74" s="5">
        <v>0</v>
      </c>
      <c r="G74" s="6">
        <f t="shared" si="1"/>
        <v>1</v>
      </c>
      <c r="H74" s="92"/>
      <c r="I74" s="94"/>
    </row>
    <row r="75" spans="1:9">
      <c r="A75" s="7">
        <v>46096</v>
      </c>
      <c r="B75" s="5" t="s">
        <v>14</v>
      </c>
      <c r="C75" s="5">
        <v>3</v>
      </c>
      <c r="D75" s="5">
        <v>3</v>
      </c>
      <c r="E75" s="5">
        <v>0</v>
      </c>
      <c r="F75" s="5">
        <v>0</v>
      </c>
      <c r="G75" s="6">
        <f t="shared" si="1"/>
        <v>0</v>
      </c>
      <c r="H75" s="93"/>
      <c r="I75" s="94"/>
    </row>
    <row r="76" spans="1:9">
      <c r="A76" s="7">
        <v>46097</v>
      </c>
      <c r="B76" s="5" t="s">
        <v>14</v>
      </c>
      <c r="C76" s="5">
        <v>3</v>
      </c>
      <c r="D76" s="5">
        <v>3</v>
      </c>
      <c r="E76" s="5">
        <v>0</v>
      </c>
      <c r="F76" s="5">
        <v>0</v>
      </c>
      <c r="G76" s="6">
        <f t="shared" si="1"/>
        <v>0</v>
      </c>
      <c r="H76" s="91">
        <f>SUM(G76:G82)</f>
        <v>22</v>
      </c>
      <c r="I76" s="94"/>
    </row>
    <row r="77" spans="1:9">
      <c r="A77" s="7">
        <v>46098</v>
      </c>
      <c r="B77" s="5" t="s">
        <v>14</v>
      </c>
      <c r="C77" s="5">
        <v>3</v>
      </c>
      <c r="D77" s="5">
        <v>1</v>
      </c>
      <c r="E77" s="5">
        <v>0</v>
      </c>
      <c r="F77" s="5">
        <v>0</v>
      </c>
      <c r="G77" s="6">
        <f t="shared" si="1"/>
        <v>2</v>
      </c>
      <c r="H77" s="92"/>
      <c r="I77" s="94"/>
    </row>
    <row r="78" spans="1:9">
      <c r="A78" s="7">
        <v>46099</v>
      </c>
      <c r="B78" s="5" t="s">
        <v>14</v>
      </c>
      <c r="C78" s="5">
        <v>4</v>
      </c>
      <c r="D78" s="5">
        <v>0</v>
      </c>
      <c r="E78" s="5">
        <v>0</v>
      </c>
      <c r="F78" s="5">
        <v>0</v>
      </c>
      <c r="G78" s="6">
        <f t="shared" si="1"/>
        <v>4</v>
      </c>
      <c r="H78" s="92"/>
      <c r="I78" s="94"/>
    </row>
    <row r="79" spans="1:9">
      <c r="A79" s="7">
        <v>46100</v>
      </c>
      <c r="B79" s="5" t="s">
        <v>14</v>
      </c>
      <c r="C79" s="5">
        <v>3</v>
      </c>
      <c r="D79" s="5">
        <v>1</v>
      </c>
      <c r="E79" s="5">
        <v>0</v>
      </c>
      <c r="F79" s="5">
        <v>0</v>
      </c>
      <c r="G79" s="6">
        <f t="shared" si="1"/>
        <v>2</v>
      </c>
      <c r="H79" s="92"/>
      <c r="I79" s="94"/>
    </row>
    <row r="80" spans="1:9">
      <c r="A80" s="7">
        <v>46101</v>
      </c>
      <c r="B80" s="5" t="s">
        <v>14</v>
      </c>
      <c r="C80" s="5">
        <v>8</v>
      </c>
      <c r="D80" s="5">
        <v>0</v>
      </c>
      <c r="E80" s="5">
        <v>0</v>
      </c>
      <c r="F80" s="5">
        <v>0</v>
      </c>
      <c r="G80" s="6">
        <f t="shared" si="1"/>
        <v>8</v>
      </c>
      <c r="H80" s="92"/>
      <c r="I80" s="94"/>
    </row>
    <row r="81" spans="1:9">
      <c r="A81" s="7">
        <v>46102</v>
      </c>
      <c r="B81" s="5" t="s">
        <v>14</v>
      </c>
      <c r="C81" s="5">
        <v>5</v>
      </c>
      <c r="D81" s="5">
        <v>0</v>
      </c>
      <c r="E81" s="5">
        <v>0</v>
      </c>
      <c r="F81" s="5">
        <v>0</v>
      </c>
      <c r="G81" s="6">
        <f t="shared" si="1"/>
        <v>5</v>
      </c>
      <c r="H81" s="92"/>
      <c r="I81" s="94"/>
    </row>
    <row r="82" spans="1:9">
      <c r="A82" s="7">
        <v>46103</v>
      </c>
      <c r="B82" s="5" t="s">
        <v>14</v>
      </c>
      <c r="C82" s="5">
        <v>1</v>
      </c>
      <c r="D82" s="5">
        <v>0</v>
      </c>
      <c r="E82" s="5">
        <v>0</v>
      </c>
      <c r="F82" s="5">
        <v>0</v>
      </c>
      <c r="G82" s="6">
        <f t="shared" si="1"/>
        <v>1</v>
      </c>
      <c r="H82" s="93"/>
      <c r="I82" s="94"/>
    </row>
    <row r="83" spans="1:9">
      <c r="A83" s="7">
        <v>46104</v>
      </c>
      <c r="B83" s="5" t="s">
        <v>14</v>
      </c>
      <c r="C83" s="5">
        <v>11</v>
      </c>
      <c r="D83" s="5">
        <v>3</v>
      </c>
      <c r="E83" s="5">
        <v>0</v>
      </c>
      <c r="F83" s="5">
        <v>0</v>
      </c>
      <c r="G83" s="6">
        <f t="shared" si="1"/>
        <v>8</v>
      </c>
      <c r="H83" s="91">
        <f>SUM(G83:G89)</f>
        <v>27</v>
      </c>
      <c r="I83" s="94"/>
    </row>
    <row r="84" spans="1:9">
      <c r="A84" s="7">
        <v>46105</v>
      </c>
      <c r="B84" s="5" t="s">
        <v>14</v>
      </c>
      <c r="C84" s="5">
        <v>5</v>
      </c>
      <c r="D84" s="5">
        <v>3</v>
      </c>
      <c r="E84" s="5">
        <v>0</v>
      </c>
      <c r="F84" s="5">
        <v>0</v>
      </c>
      <c r="G84" s="6">
        <f t="shared" si="1"/>
        <v>2</v>
      </c>
      <c r="H84" s="92"/>
      <c r="I84" s="94"/>
    </row>
    <row r="85" spans="1:9">
      <c r="A85" s="7">
        <v>46106</v>
      </c>
      <c r="B85" s="5" t="s">
        <v>14</v>
      </c>
      <c r="C85" s="5">
        <v>3</v>
      </c>
      <c r="D85" s="5">
        <v>1</v>
      </c>
      <c r="E85" s="5">
        <v>0</v>
      </c>
      <c r="F85" s="5">
        <v>0</v>
      </c>
      <c r="G85" s="6">
        <f t="shared" si="1"/>
        <v>2</v>
      </c>
      <c r="H85" s="92"/>
      <c r="I85" s="94"/>
    </row>
    <row r="86" spans="1:9">
      <c r="A86" s="7">
        <v>46107</v>
      </c>
      <c r="B86" s="5" t="s">
        <v>14</v>
      </c>
      <c r="C86" s="5">
        <v>3</v>
      </c>
      <c r="D86" s="5">
        <v>2</v>
      </c>
      <c r="E86" s="5">
        <v>0</v>
      </c>
      <c r="F86" s="5">
        <v>0</v>
      </c>
      <c r="G86" s="6">
        <f t="shared" si="1"/>
        <v>1</v>
      </c>
      <c r="H86" s="92"/>
      <c r="I86" s="94"/>
    </row>
    <row r="87" spans="1:9">
      <c r="A87" s="7">
        <v>46108</v>
      </c>
      <c r="B87" s="5" t="s">
        <v>14</v>
      </c>
      <c r="C87" s="5">
        <v>4</v>
      </c>
      <c r="D87" s="5">
        <v>2</v>
      </c>
      <c r="E87" s="5">
        <v>0</v>
      </c>
      <c r="F87" s="5">
        <v>0</v>
      </c>
      <c r="G87" s="6">
        <f t="shared" si="1"/>
        <v>2</v>
      </c>
      <c r="H87" s="92"/>
      <c r="I87" s="94"/>
    </row>
    <row r="88" spans="1:9">
      <c r="A88" s="7">
        <v>46109</v>
      </c>
      <c r="B88" s="5" t="s">
        <v>14</v>
      </c>
      <c r="C88" s="5">
        <v>8</v>
      </c>
      <c r="D88" s="5">
        <v>0</v>
      </c>
      <c r="E88" s="5">
        <v>0</v>
      </c>
      <c r="F88" s="5">
        <v>0</v>
      </c>
      <c r="G88" s="6">
        <f t="shared" si="1"/>
        <v>8</v>
      </c>
      <c r="H88" s="92"/>
      <c r="I88" s="94"/>
    </row>
    <row r="89" spans="1:9">
      <c r="A89" s="7">
        <v>46110</v>
      </c>
      <c r="B89" s="5" t="s">
        <v>14</v>
      </c>
      <c r="C89" s="5">
        <v>6</v>
      </c>
      <c r="D89" s="5">
        <v>2</v>
      </c>
      <c r="E89" s="5">
        <v>0</v>
      </c>
      <c r="F89" s="5">
        <v>0</v>
      </c>
      <c r="G89" s="6">
        <f t="shared" si="1"/>
        <v>4</v>
      </c>
      <c r="H89" s="93"/>
      <c r="I89" s="94"/>
    </row>
    <row r="90" spans="1:9">
      <c r="A90" s="7">
        <v>46111</v>
      </c>
      <c r="B90" s="5" t="s">
        <v>14</v>
      </c>
      <c r="C90" s="5">
        <v>5</v>
      </c>
      <c r="D90" s="5">
        <v>3</v>
      </c>
      <c r="E90" s="5">
        <v>0</v>
      </c>
      <c r="F90" s="5">
        <v>0</v>
      </c>
      <c r="G90" s="6">
        <f t="shared" si="1"/>
        <v>2</v>
      </c>
      <c r="H90" s="91">
        <f>SUM(G90:G96)</f>
        <v>249</v>
      </c>
      <c r="I90" s="94"/>
    </row>
    <row r="91" spans="1:9">
      <c r="A91" s="7">
        <v>46112</v>
      </c>
      <c r="B91" s="5" t="s">
        <v>14</v>
      </c>
      <c r="C91" s="5">
        <v>1</v>
      </c>
      <c r="D91" s="5">
        <v>0</v>
      </c>
      <c r="E91" s="5">
        <v>0</v>
      </c>
      <c r="F91" s="5">
        <v>0</v>
      </c>
      <c r="G91" s="6">
        <f t="shared" si="1"/>
        <v>1</v>
      </c>
      <c r="H91" s="92"/>
      <c r="I91" s="94"/>
    </row>
    <row r="92" spans="1:9">
      <c r="A92" s="7">
        <v>46113</v>
      </c>
      <c r="B92" s="5" t="s">
        <v>14</v>
      </c>
      <c r="C92" s="5">
        <v>5</v>
      </c>
      <c r="D92" s="5">
        <v>0</v>
      </c>
      <c r="E92" s="5">
        <v>0</v>
      </c>
      <c r="F92" s="5">
        <v>0</v>
      </c>
      <c r="G92" s="6">
        <f t="shared" si="1"/>
        <v>5</v>
      </c>
      <c r="H92" s="92"/>
      <c r="I92" s="94"/>
    </row>
    <row r="93" spans="1:9">
      <c r="A93" s="7">
        <v>46114</v>
      </c>
      <c r="B93" s="5" t="s">
        <v>14</v>
      </c>
      <c r="C93" s="5">
        <v>111</v>
      </c>
      <c r="D93" s="5">
        <v>1</v>
      </c>
      <c r="E93" s="5">
        <v>0</v>
      </c>
      <c r="F93" s="5">
        <v>0</v>
      </c>
      <c r="G93" s="6">
        <f t="shared" si="1"/>
        <v>110</v>
      </c>
      <c r="H93" s="92"/>
      <c r="I93" s="94"/>
    </row>
    <row r="94" spans="1:9">
      <c r="A94" s="7">
        <v>46115</v>
      </c>
      <c r="B94" s="5" t="s">
        <v>14</v>
      </c>
      <c r="C94" s="5">
        <v>68</v>
      </c>
      <c r="D94" s="5">
        <v>3</v>
      </c>
      <c r="E94" s="5">
        <v>0</v>
      </c>
      <c r="F94" s="5">
        <v>0</v>
      </c>
      <c r="G94" s="6">
        <f t="shared" si="1"/>
        <v>65</v>
      </c>
      <c r="H94" s="92"/>
      <c r="I94" s="94"/>
    </row>
    <row r="95" spans="1:9">
      <c r="A95" s="7">
        <v>46116</v>
      </c>
      <c r="B95" s="5" t="s">
        <v>14</v>
      </c>
      <c r="C95" s="5">
        <v>33</v>
      </c>
      <c r="D95" s="5">
        <v>1</v>
      </c>
      <c r="E95" s="5">
        <v>0</v>
      </c>
      <c r="F95" s="5">
        <v>0</v>
      </c>
      <c r="G95" s="6">
        <f t="shared" si="1"/>
        <v>32</v>
      </c>
      <c r="H95" s="92"/>
      <c r="I95" s="94"/>
    </row>
    <row r="96" spans="1:9">
      <c r="A96" s="7">
        <v>46117</v>
      </c>
      <c r="B96" s="5" t="s">
        <v>14</v>
      </c>
      <c r="C96" s="5">
        <v>37</v>
      </c>
      <c r="D96" s="5">
        <v>3</v>
      </c>
      <c r="E96" s="5">
        <v>0</v>
      </c>
      <c r="F96" s="5">
        <v>0</v>
      </c>
      <c r="G96" s="6">
        <f t="shared" si="1"/>
        <v>34</v>
      </c>
      <c r="H96" s="93"/>
      <c r="I96" s="94"/>
    </row>
    <row r="97" spans="1:9">
      <c r="A97" s="7">
        <v>46118</v>
      </c>
      <c r="B97" s="5" t="s">
        <v>14</v>
      </c>
      <c r="C97" s="5">
        <v>41</v>
      </c>
      <c r="D97" s="5">
        <v>2</v>
      </c>
      <c r="E97" s="5">
        <v>0</v>
      </c>
      <c r="F97" s="5">
        <v>0</v>
      </c>
      <c r="G97" s="6">
        <f t="shared" si="1"/>
        <v>39</v>
      </c>
      <c r="H97" s="91">
        <f>SUM(G97:G103)</f>
        <v>363</v>
      </c>
      <c r="I97" s="94"/>
    </row>
    <row r="98" spans="1:9">
      <c r="A98" s="7">
        <v>46119</v>
      </c>
      <c r="B98" s="5" t="s">
        <v>14</v>
      </c>
      <c r="C98" s="5">
        <v>45</v>
      </c>
      <c r="D98" s="5">
        <v>0</v>
      </c>
      <c r="E98" s="5">
        <v>0</v>
      </c>
      <c r="F98" s="5">
        <v>0</v>
      </c>
      <c r="G98" s="6">
        <f t="shared" si="1"/>
        <v>45</v>
      </c>
      <c r="H98" s="92"/>
      <c r="I98" s="94"/>
    </row>
    <row r="99" spans="1:9">
      <c r="A99" s="7">
        <v>46120</v>
      </c>
      <c r="B99" s="5" t="s">
        <v>14</v>
      </c>
      <c r="C99" s="5">
        <v>15</v>
      </c>
      <c r="D99" s="5">
        <v>4</v>
      </c>
      <c r="E99" s="5">
        <v>0</v>
      </c>
      <c r="F99" s="5">
        <v>0</v>
      </c>
      <c r="G99" s="6">
        <f t="shared" si="1"/>
        <v>11</v>
      </c>
      <c r="H99" s="92"/>
      <c r="I99" s="94"/>
    </row>
    <row r="100" spans="1:9">
      <c r="A100" s="7">
        <v>46121</v>
      </c>
      <c r="B100" s="5" t="s">
        <v>14</v>
      </c>
      <c r="C100" s="5">
        <v>107</v>
      </c>
      <c r="D100" s="5">
        <v>4</v>
      </c>
      <c r="E100" s="5">
        <v>0</v>
      </c>
      <c r="F100" s="5">
        <v>0</v>
      </c>
      <c r="G100" s="6">
        <f t="shared" si="1"/>
        <v>103</v>
      </c>
      <c r="H100" s="92"/>
      <c r="I100" s="94"/>
    </row>
    <row r="101" spans="1:9">
      <c r="A101" s="7">
        <v>46122</v>
      </c>
      <c r="B101" s="5" t="s">
        <v>14</v>
      </c>
      <c r="C101" s="5">
        <v>68</v>
      </c>
      <c r="D101" s="5">
        <v>2</v>
      </c>
      <c r="E101" s="5">
        <v>0</v>
      </c>
      <c r="F101" s="5">
        <v>0</v>
      </c>
      <c r="G101" s="6">
        <f t="shared" si="1"/>
        <v>66</v>
      </c>
      <c r="H101" s="92"/>
      <c r="I101" s="94"/>
    </row>
    <row r="102" spans="1:9">
      <c r="A102" s="7">
        <v>46123</v>
      </c>
      <c r="B102" s="5" t="s">
        <v>14</v>
      </c>
      <c r="C102" s="5">
        <v>60</v>
      </c>
      <c r="D102" s="5">
        <v>3</v>
      </c>
      <c r="E102" s="5">
        <v>0</v>
      </c>
      <c r="F102" s="5">
        <v>0</v>
      </c>
      <c r="G102" s="6">
        <f t="shared" si="1"/>
        <v>57</v>
      </c>
      <c r="H102" s="92"/>
      <c r="I102" s="94"/>
    </row>
    <row r="103" spans="1:9">
      <c r="A103" s="7">
        <v>46124</v>
      </c>
      <c r="B103" s="5" t="s">
        <v>14</v>
      </c>
      <c r="C103" s="5">
        <v>46</v>
      </c>
      <c r="D103" s="5">
        <v>4</v>
      </c>
      <c r="E103" s="5">
        <v>0</v>
      </c>
      <c r="F103" s="5">
        <v>0</v>
      </c>
      <c r="G103" s="6">
        <f t="shared" si="1"/>
        <v>42</v>
      </c>
      <c r="H103" s="93"/>
      <c r="I103" s="94"/>
    </row>
    <row r="104" spans="1:9">
      <c r="A104" s="7">
        <v>46125</v>
      </c>
      <c r="B104" s="5" t="s">
        <v>14</v>
      </c>
      <c r="C104" s="9">
        <v>28</v>
      </c>
      <c r="D104" s="9">
        <v>0</v>
      </c>
      <c r="E104" s="9">
        <v>0</v>
      </c>
      <c r="F104" s="9">
        <v>0</v>
      </c>
      <c r="G104" s="6">
        <f>SUM(F104,E104,C104-D104)</f>
        <v>28</v>
      </c>
      <c r="H104" s="91">
        <f>SUM(G104:G110)</f>
        <v>668</v>
      </c>
      <c r="I104" s="94"/>
    </row>
    <row r="105" spans="1:9">
      <c r="A105" s="7">
        <v>46126</v>
      </c>
      <c r="B105" s="5" t="s">
        <v>14</v>
      </c>
      <c r="C105" s="9">
        <v>41</v>
      </c>
      <c r="D105" s="9">
        <v>1</v>
      </c>
      <c r="E105" s="9">
        <v>0</v>
      </c>
      <c r="F105" s="9">
        <v>0</v>
      </c>
      <c r="G105" s="6">
        <f t="shared" si="1"/>
        <v>40</v>
      </c>
      <c r="H105" s="92"/>
      <c r="I105" s="94"/>
    </row>
    <row r="106" spans="1:9">
      <c r="A106" s="7">
        <v>46127</v>
      </c>
      <c r="B106" s="5" t="s">
        <v>14</v>
      </c>
      <c r="C106" s="9">
        <v>58</v>
      </c>
      <c r="D106" s="9">
        <v>6</v>
      </c>
      <c r="E106" s="9">
        <v>0</v>
      </c>
      <c r="F106" s="9">
        <v>0</v>
      </c>
      <c r="G106" s="6">
        <f t="shared" si="1"/>
        <v>52</v>
      </c>
      <c r="H106" s="92"/>
      <c r="I106" s="94"/>
    </row>
    <row r="107" spans="1:9">
      <c r="A107" s="7">
        <v>46128</v>
      </c>
      <c r="B107" s="5" t="s">
        <v>14</v>
      </c>
      <c r="C107" s="9">
        <v>233</v>
      </c>
      <c r="D107" s="9">
        <v>3</v>
      </c>
      <c r="E107" s="9">
        <v>0</v>
      </c>
      <c r="F107" s="9">
        <v>0</v>
      </c>
      <c r="G107" s="6">
        <f t="shared" si="1"/>
        <v>230</v>
      </c>
      <c r="H107" s="92"/>
      <c r="I107" s="94"/>
    </row>
    <row r="108" spans="1:9">
      <c r="A108" s="7">
        <v>46129</v>
      </c>
      <c r="B108" s="5" t="s">
        <v>14</v>
      </c>
      <c r="C108" s="9">
        <v>153</v>
      </c>
      <c r="D108" s="9">
        <v>2</v>
      </c>
      <c r="E108" s="9">
        <v>0</v>
      </c>
      <c r="F108" s="9">
        <v>0</v>
      </c>
      <c r="G108" s="6">
        <f t="shared" si="1"/>
        <v>151</v>
      </c>
      <c r="H108" s="92"/>
      <c r="I108" s="94"/>
    </row>
    <row r="109" spans="1:9">
      <c r="A109" s="7">
        <v>46130</v>
      </c>
      <c r="B109" s="5" t="s">
        <v>14</v>
      </c>
      <c r="C109" s="9">
        <v>75</v>
      </c>
      <c r="D109" s="9">
        <v>5</v>
      </c>
      <c r="E109" s="9">
        <v>0</v>
      </c>
      <c r="F109" s="9">
        <v>0</v>
      </c>
      <c r="G109" s="6">
        <f t="shared" si="1"/>
        <v>70</v>
      </c>
      <c r="H109" s="92"/>
      <c r="I109" s="94"/>
    </row>
    <row r="110" spans="1:9">
      <c r="A110" s="7">
        <v>46131</v>
      </c>
      <c r="B110" s="5" t="s">
        <v>14</v>
      </c>
      <c r="C110" s="9">
        <v>101</v>
      </c>
      <c r="D110" s="9">
        <v>4</v>
      </c>
      <c r="E110" s="9">
        <v>0</v>
      </c>
      <c r="F110" s="9">
        <v>0</v>
      </c>
      <c r="G110" s="6">
        <f t="shared" si="1"/>
        <v>97</v>
      </c>
      <c r="H110" s="93"/>
      <c r="I110" s="94"/>
    </row>
    <row r="111" spans="1:9">
      <c r="A111" s="7">
        <v>46132</v>
      </c>
      <c r="B111" s="5" t="s">
        <v>14</v>
      </c>
      <c r="C111" s="9">
        <v>1254</v>
      </c>
      <c r="D111" s="9">
        <v>7</v>
      </c>
      <c r="E111" s="9">
        <v>0</v>
      </c>
      <c r="F111" s="9">
        <v>0</v>
      </c>
      <c r="G111" s="6">
        <f t="shared" si="1"/>
        <v>1247</v>
      </c>
      <c r="H111" s="91">
        <f>SUM(G111:G117)</f>
        <v>3186</v>
      </c>
      <c r="I111" s="94"/>
    </row>
    <row r="112" spans="1:9">
      <c r="A112" s="7">
        <v>46133</v>
      </c>
      <c r="B112" s="5" t="s">
        <v>14</v>
      </c>
      <c r="C112" s="9">
        <v>311</v>
      </c>
      <c r="D112" s="9">
        <v>4</v>
      </c>
      <c r="E112" s="9">
        <v>0</v>
      </c>
      <c r="F112" s="9">
        <v>0</v>
      </c>
      <c r="G112" s="6">
        <f t="shared" si="1"/>
        <v>307</v>
      </c>
      <c r="H112" s="92"/>
      <c r="I112" s="94"/>
    </row>
    <row r="113" spans="1:9">
      <c r="A113" s="7">
        <v>46134</v>
      </c>
      <c r="B113" s="5" t="s">
        <v>14</v>
      </c>
      <c r="C113" s="9">
        <v>117</v>
      </c>
      <c r="D113" s="9">
        <v>1</v>
      </c>
      <c r="E113" s="9">
        <v>0</v>
      </c>
      <c r="F113" s="9">
        <v>0</v>
      </c>
      <c r="G113" s="6">
        <f t="shared" si="1"/>
        <v>116</v>
      </c>
      <c r="H113" s="92"/>
      <c r="I113" s="94"/>
    </row>
    <row r="114" spans="1:9">
      <c r="A114" s="7">
        <v>46135</v>
      </c>
      <c r="B114" s="5" t="s">
        <v>14</v>
      </c>
      <c r="C114" s="9">
        <v>124</v>
      </c>
      <c r="D114" s="9">
        <v>5</v>
      </c>
      <c r="E114" s="9">
        <v>0</v>
      </c>
      <c r="F114" s="9">
        <v>0</v>
      </c>
      <c r="G114" s="6">
        <f t="shared" si="1"/>
        <v>119</v>
      </c>
      <c r="H114" s="92"/>
      <c r="I114" s="94"/>
    </row>
    <row r="115" spans="1:9">
      <c r="A115" s="7">
        <v>46136</v>
      </c>
      <c r="B115" s="5" t="s">
        <v>14</v>
      </c>
      <c r="C115" s="9">
        <v>749</v>
      </c>
      <c r="D115" s="9">
        <v>11</v>
      </c>
      <c r="E115" s="9">
        <v>0</v>
      </c>
      <c r="F115" s="9">
        <v>0</v>
      </c>
      <c r="G115" s="6">
        <f t="shared" si="1"/>
        <v>738</v>
      </c>
      <c r="H115" s="92"/>
      <c r="I115" s="94"/>
    </row>
    <row r="116" spans="1:9">
      <c r="A116" s="7">
        <v>46137</v>
      </c>
      <c r="B116" s="5" t="s">
        <v>14</v>
      </c>
      <c r="C116" s="9">
        <v>458</v>
      </c>
      <c r="D116" s="9">
        <v>10</v>
      </c>
      <c r="E116" s="9">
        <v>0</v>
      </c>
      <c r="F116" s="9">
        <v>0</v>
      </c>
      <c r="G116" s="6">
        <f t="shared" si="1"/>
        <v>448</v>
      </c>
      <c r="H116" s="92"/>
      <c r="I116" s="94"/>
    </row>
    <row r="117" spans="1:9">
      <c r="A117" s="7">
        <v>46138</v>
      </c>
      <c r="B117" s="5" t="s">
        <v>14</v>
      </c>
      <c r="C117" s="9">
        <v>224</v>
      </c>
      <c r="D117" s="9">
        <v>13</v>
      </c>
      <c r="E117" s="9">
        <v>0</v>
      </c>
      <c r="F117" s="9">
        <v>0</v>
      </c>
      <c r="G117" s="6">
        <f t="shared" si="1"/>
        <v>211</v>
      </c>
      <c r="H117" s="93"/>
      <c r="I117" s="94"/>
    </row>
    <row r="118" spans="1:9">
      <c r="A118" s="7">
        <v>46139</v>
      </c>
      <c r="B118" s="5" t="s">
        <v>14</v>
      </c>
      <c r="C118" s="9">
        <v>171</v>
      </c>
      <c r="D118" s="9">
        <v>15</v>
      </c>
      <c r="E118" s="9">
        <v>0</v>
      </c>
      <c r="F118" s="9">
        <v>0</v>
      </c>
      <c r="G118" s="6">
        <f t="shared" si="1"/>
        <v>156</v>
      </c>
      <c r="H118" s="91">
        <f>SUM(G118:G124)</f>
        <v>827</v>
      </c>
      <c r="I118" s="94"/>
    </row>
    <row r="119" spans="1:9">
      <c r="A119" s="7">
        <v>46140</v>
      </c>
      <c r="B119" s="5" t="s">
        <v>14</v>
      </c>
      <c r="C119" s="9">
        <v>155</v>
      </c>
      <c r="D119" s="9">
        <v>6</v>
      </c>
      <c r="E119" s="9">
        <v>0</v>
      </c>
      <c r="F119" s="9">
        <v>0</v>
      </c>
      <c r="G119" s="6">
        <f t="shared" si="1"/>
        <v>149</v>
      </c>
      <c r="H119" s="92"/>
      <c r="I119" s="94"/>
    </row>
    <row r="120" spans="1:9">
      <c r="A120" s="7">
        <v>46141</v>
      </c>
      <c r="B120" s="5" t="s">
        <v>14</v>
      </c>
      <c r="C120" s="9">
        <v>184</v>
      </c>
      <c r="D120" s="9">
        <v>9</v>
      </c>
      <c r="E120" s="9">
        <v>0</v>
      </c>
      <c r="F120" s="9">
        <v>0</v>
      </c>
      <c r="G120" s="6">
        <f t="shared" si="1"/>
        <v>175</v>
      </c>
      <c r="H120" s="92"/>
      <c r="I120" s="94"/>
    </row>
    <row r="121" spans="1:9">
      <c r="A121" s="7">
        <v>46142</v>
      </c>
      <c r="B121" s="5" t="s">
        <v>14</v>
      </c>
      <c r="C121" s="9">
        <v>132</v>
      </c>
      <c r="D121" s="9">
        <v>3</v>
      </c>
      <c r="E121" s="9">
        <v>0</v>
      </c>
      <c r="F121" s="9">
        <v>0</v>
      </c>
      <c r="G121" s="6">
        <f t="shared" si="1"/>
        <v>129</v>
      </c>
      <c r="H121" s="92"/>
      <c r="I121" s="94"/>
    </row>
    <row r="122" spans="1:9">
      <c r="A122" s="7">
        <v>46143</v>
      </c>
      <c r="B122" s="5" t="s">
        <v>14</v>
      </c>
      <c r="C122" s="9">
        <v>111</v>
      </c>
      <c r="D122" s="9">
        <v>10</v>
      </c>
      <c r="E122" s="9">
        <v>0</v>
      </c>
      <c r="F122" s="9">
        <v>0</v>
      </c>
      <c r="G122" s="6">
        <f t="shared" si="1"/>
        <v>101</v>
      </c>
      <c r="H122" s="92"/>
      <c r="I122" s="94"/>
    </row>
    <row r="123" spans="1:9">
      <c r="A123" s="7">
        <v>46144</v>
      </c>
      <c r="B123" s="5" t="s">
        <v>14</v>
      </c>
      <c r="C123" s="9">
        <v>51</v>
      </c>
      <c r="D123" s="9">
        <v>6</v>
      </c>
      <c r="E123" s="9">
        <v>0</v>
      </c>
      <c r="F123" s="9">
        <v>0</v>
      </c>
      <c r="G123" s="6">
        <f t="shared" si="1"/>
        <v>45</v>
      </c>
      <c r="H123" s="92"/>
      <c r="I123" s="94"/>
    </row>
    <row r="124" spans="1:9">
      <c r="A124" s="7">
        <v>46145</v>
      </c>
      <c r="B124" s="5" t="s">
        <v>14</v>
      </c>
      <c r="C124" s="9">
        <v>72</v>
      </c>
      <c r="D124" s="9">
        <v>0</v>
      </c>
      <c r="E124" s="9">
        <v>0</v>
      </c>
      <c r="F124" s="9">
        <v>0</v>
      </c>
      <c r="G124" s="6">
        <f t="shared" si="1"/>
        <v>72</v>
      </c>
      <c r="H124" s="93"/>
      <c r="I124" s="94"/>
    </row>
    <row r="125" spans="1:9">
      <c r="A125" s="7">
        <v>46146</v>
      </c>
      <c r="B125" s="5" t="s">
        <v>14</v>
      </c>
      <c r="C125" s="9">
        <v>0</v>
      </c>
      <c r="D125" s="9">
        <v>0</v>
      </c>
      <c r="E125" s="9">
        <v>0</v>
      </c>
      <c r="F125" s="9">
        <v>0</v>
      </c>
      <c r="G125" s="6">
        <f t="shared" si="1"/>
        <v>0</v>
      </c>
      <c r="H125" s="91">
        <f>SUM(G125:G131)</f>
        <v>0</v>
      </c>
      <c r="I125" s="94"/>
    </row>
    <row r="126" spans="1:9">
      <c r="A126" s="7">
        <v>46147</v>
      </c>
      <c r="B126" s="5" t="s">
        <v>14</v>
      </c>
      <c r="C126" s="9">
        <v>0</v>
      </c>
      <c r="D126" s="9">
        <v>0</v>
      </c>
      <c r="E126" s="9">
        <v>0</v>
      </c>
      <c r="F126" s="9">
        <v>0</v>
      </c>
      <c r="G126" s="6">
        <f t="shared" si="1"/>
        <v>0</v>
      </c>
      <c r="H126" s="92"/>
      <c r="I126" s="94"/>
    </row>
    <row r="127" spans="1:9">
      <c r="A127" s="7">
        <v>46148</v>
      </c>
      <c r="B127" s="5" t="s">
        <v>14</v>
      </c>
      <c r="C127" s="9">
        <v>0</v>
      </c>
      <c r="D127" s="9">
        <v>0</v>
      </c>
      <c r="E127" s="9">
        <v>0</v>
      </c>
      <c r="F127" s="9">
        <v>0</v>
      </c>
      <c r="G127" s="6">
        <f t="shared" si="1"/>
        <v>0</v>
      </c>
      <c r="H127" s="92"/>
      <c r="I127" s="94"/>
    </row>
    <row r="128" spans="1:9">
      <c r="A128" s="7">
        <v>46149</v>
      </c>
      <c r="B128" s="5" t="s">
        <v>14</v>
      </c>
      <c r="C128" s="9">
        <v>0</v>
      </c>
      <c r="D128" s="9">
        <v>0</v>
      </c>
      <c r="E128" s="9">
        <v>0</v>
      </c>
      <c r="F128" s="9">
        <v>0</v>
      </c>
      <c r="G128" s="6">
        <f t="shared" si="1"/>
        <v>0</v>
      </c>
      <c r="H128" s="92"/>
      <c r="I128" s="94"/>
    </row>
    <row r="129" spans="1:9">
      <c r="A129" s="7">
        <v>46150</v>
      </c>
      <c r="B129" s="5" t="s">
        <v>14</v>
      </c>
      <c r="C129" s="9">
        <v>0</v>
      </c>
      <c r="D129" s="9">
        <v>0</v>
      </c>
      <c r="E129" s="9">
        <v>0</v>
      </c>
      <c r="F129" s="9">
        <v>0</v>
      </c>
      <c r="G129" s="6">
        <f t="shared" si="1"/>
        <v>0</v>
      </c>
      <c r="H129" s="92"/>
      <c r="I129" s="94"/>
    </row>
    <row r="130" spans="1:9">
      <c r="A130" s="7">
        <v>46151</v>
      </c>
      <c r="B130" s="5" t="s">
        <v>14</v>
      </c>
      <c r="C130" s="9">
        <v>0</v>
      </c>
      <c r="D130" s="9">
        <v>0</v>
      </c>
      <c r="E130" s="9">
        <v>0</v>
      </c>
      <c r="F130" s="9">
        <v>0</v>
      </c>
      <c r="G130" s="6">
        <f t="shared" si="1"/>
        <v>0</v>
      </c>
      <c r="H130" s="92"/>
      <c r="I130" s="94"/>
    </row>
    <row r="131" spans="1:9">
      <c r="A131" s="7">
        <v>46152</v>
      </c>
      <c r="B131" s="5" t="s">
        <v>14</v>
      </c>
      <c r="C131" s="9">
        <v>0</v>
      </c>
      <c r="D131" s="9">
        <v>0</v>
      </c>
      <c r="E131" s="9">
        <v>0</v>
      </c>
      <c r="F131" s="9">
        <v>0</v>
      </c>
      <c r="G131" s="6">
        <f t="shared" ref="G131:G194" si="2">SUM(F131,E131,C131-D131)</f>
        <v>0</v>
      </c>
      <c r="H131" s="93"/>
      <c r="I131" s="94"/>
    </row>
    <row r="132" spans="1:9">
      <c r="A132" s="7">
        <v>46153</v>
      </c>
      <c r="B132" s="5" t="s">
        <v>14</v>
      </c>
      <c r="C132" s="9">
        <v>0</v>
      </c>
      <c r="D132" s="9">
        <v>0</v>
      </c>
      <c r="E132" s="9">
        <v>0</v>
      </c>
      <c r="F132" s="9">
        <v>0</v>
      </c>
      <c r="G132" s="6">
        <f t="shared" si="2"/>
        <v>0</v>
      </c>
      <c r="H132" s="91">
        <f>SUM(G132:G138)</f>
        <v>0</v>
      </c>
      <c r="I132" s="94"/>
    </row>
    <row r="133" spans="1:9">
      <c r="A133" s="7">
        <v>46154</v>
      </c>
      <c r="B133" s="5" t="s">
        <v>14</v>
      </c>
      <c r="C133" s="9">
        <v>0</v>
      </c>
      <c r="D133" s="9">
        <v>0</v>
      </c>
      <c r="E133" s="9">
        <v>0</v>
      </c>
      <c r="F133" s="9">
        <v>0</v>
      </c>
      <c r="G133" s="6">
        <f t="shared" si="2"/>
        <v>0</v>
      </c>
      <c r="H133" s="92"/>
      <c r="I133" s="94"/>
    </row>
    <row r="134" spans="1:9">
      <c r="A134" s="7">
        <v>46155</v>
      </c>
      <c r="B134" s="5" t="s">
        <v>14</v>
      </c>
      <c r="C134" s="9">
        <v>0</v>
      </c>
      <c r="D134" s="9">
        <v>0</v>
      </c>
      <c r="E134" s="9">
        <v>0</v>
      </c>
      <c r="F134" s="9">
        <v>0</v>
      </c>
      <c r="G134" s="6">
        <f t="shared" si="2"/>
        <v>0</v>
      </c>
      <c r="H134" s="92"/>
      <c r="I134" s="94"/>
    </row>
    <row r="135" spans="1:9">
      <c r="A135" s="7">
        <v>46156</v>
      </c>
      <c r="B135" s="5" t="s">
        <v>14</v>
      </c>
      <c r="C135" s="9">
        <v>0</v>
      </c>
      <c r="D135" s="9">
        <v>0</v>
      </c>
      <c r="E135" s="9">
        <v>0</v>
      </c>
      <c r="F135" s="9">
        <v>0</v>
      </c>
      <c r="G135" s="6">
        <f t="shared" si="2"/>
        <v>0</v>
      </c>
      <c r="H135" s="92"/>
      <c r="I135" s="94"/>
    </row>
    <row r="136" spans="1:9">
      <c r="A136" s="7">
        <v>46157</v>
      </c>
      <c r="B136" s="5" t="s">
        <v>14</v>
      </c>
      <c r="C136" s="9">
        <v>0</v>
      </c>
      <c r="D136" s="9">
        <v>0</v>
      </c>
      <c r="E136" s="9">
        <v>0</v>
      </c>
      <c r="F136" s="9">
        <v>0</v>
      </c>
      <c r="G136" s="6">
        <f t="shared" si="2"/>
        <v>0</v>
      </c>
      <c r="H136" s="92"/>
      <c r="I136" s="94"/>
    </row>
    <row r="137" spans="1:9">
      <c r="A137" s="7">
        <v>46158</v>
      </c>
      <c r="B137" s="5" t="s">
        <v>14</v>
      </c>
      <c r="C137" s="9">
        <v>0</v>
      </c>
      <c r="D137" s="9">
        <v>0</v>
      </c>
      <c r="E137" s="9">
        <v>0</v>
      </c>
      <c r="F137" s="9">
        <v>0</v>
      </c>
      <c r="G137" s="6">
        <f t="shared" si="2"/>
        <v>0</v>
      </c>
      <c r="H137" s="92"/>
      <c r="I137" s="94"/>
    </row>
    <row r="138" spans="1:9">
      <c r="A138" s="7">
        <v>46159</v>
      </c>
      <c r="B138" s="5" t="s">
        <v>14</v>
      </c>
      <c r="C138" s="9">
        <v>0</v>
      </c>
      <c r="D138" s="9">
        <v>0</v>
      </c>
      <c r="E138" s="9">
        <v>0</v>
      </c>
      <c r="F138" s="9">
        <v>0</v>
      </c>
      <c r="G138" s="6">
        <f t="shared" si="2"/>
        <v>0</v>
      </c>
      <c r="H138" s="93"/>
      <c r="I138" s="94"/>
    </row>
    <row r="139" spans="1:9">
      <c r="A139" s="7">
        <v>46160</v>
      </c>
      <c r="B139" s="5" t="s">
        <v>14</v>
      </c>
      <c r="C139" s="9">
        <v>0</v>
      </c>
      <c r="D139" s="9">
        <v>0</v>
      </c>
      <c r="E139" s="9">
        <v>0</v>
      </c>
      <c r="F139" s="9">
        <v>0</v>
      </c>
      <c r="G139" s="6">
        <f t="shared" si="2"/>
        <v>0</v>
      </c>
      <c r="H139" s="91">
        <f>SUM(G139:G145)</f>
        <v>0</v>
      </c>
      <c r="I139" s="94"/>
    </row>
    <row r="140" spans="1:9">
      <c r="A140" s="7">
        <v>46161</v>
      </c>
      <c r="B140" s="5" t="s">
        <v>14</v>
      </c>
      <c r="C140" s="9">
        <v>0</v>
      </c>
      <c r="D140" s="9">
        <v>0</v>
      </c>
      <c r="E140" s="9">
        <v>0</v>
      </c>
      <c r="F140" s="9">
        <v>0</v>
      </c>
      <c r="G140" s="6">
        <f t="shared" si="2"/>
        <v>0</v>
      </c>
      <c r="H140" s="92"/>
      <c r="I140" s="94"/>
    </row>
    <row r="141" spans="1:9">
      <c r="A141" s="7">
        <v>46162</v>
      </c>
      <c r="B141" s="5" t="s">
        <v>14</v>
      </c>
      <c r="C141" s="9">
        <v>0</v>
      </c>
      <c r="D141" s="9">
        <v>0</v>
      </c>
      <c r="E141" s="9">
        <v>0</v>
      </c>
      <c r="F141" s="9">
        <v>0</v>
      </c>
      <c r="G141" s="6">
        <f t="shared" si="2"/>
        <v>0</v>
      </c>
      <c r="H141" s="92"/>
      <c r="I141" s="94"/>
    </row>
    <row r="142" spans="1:9">
      <c r="A142" s="7">
        <v>46163</v>
      </c>
      <c r="B142" s="5" t="s">
        <v>14</v>
      </c>
      <c r="C142" s="9">
        <v>0</v>
      </c>
      <c r="D142" s="9">
        <v>0</v>
      </c>
      <c r="E142" s="9">
        <v>0</v>
      </c>
      <c r="F142" s="9">
        <v>0</v>
      </c>
      <c r="G142" s="6">
        <f t="shared" si="2"/>
        <v>0</v>
      </c>
      <c r="H142" s="92"/>
      <c r="I142" s="94"/>
    </row>
    <row r="143" spans="1:9">
      <c r="A143" s="7">
        <v>46164</v>
      </c>
      <c r="B143" s="5" t="s">
        <v>14</v>
      </c>
      <c r="C143" s="9">
        <v>0</v>
      </c>
      <c r="D143" s="9">
        <v>0</v>
      </c>
      <c r="E143" s="9">
        <v>0</v>
      </c>
      <c r="F143" s="9">
        <v>0</v>
      </c>
      <c r="G143" s="6">
        <f t="shared" si="2"/>
        <v>0</v>
      </c>
      <c r="H143" s="92"/>
      <c r="I143" s="94"/>
    </row>
    <row r="144" spans="1:9">
      <c r="A144" s="7">
        <v>46165</v>
      </c>
      <c r="B144" s="5" t="s">
        <v>14</v>
      </c>
      <c r="C144" s="9">
        <v>0</v>
      </c>
      <c r="D144" s="9">
        <v>0</v>
      </c>
      <c r="E144" s="9">
        <v>0</v>
      </c>
      <c r="F144" s="9">
        <v>0</v>
      </c>
      <c r="G144" s="6">
        <f t="shared" si="2"/>
        <v>0</v>
      </c>
      <c r="H144" s="92"/>
      <c r="I144" s="94"/>
    </row>
    <row r="145" spans="1:9">
      <c r="A145" s="7">
        <v>46166</v>
      </c>
      <c r="B145" s="5" t="s">
        <v>14</v>
      </c>
      <c r="C145" s="9">
        <v>0</v>
      </c>
      <c r="D145" s="9">
        <v>0</v>
      </c>
      <c r="E145" s="9">
        <v>0</v>
      </c>
      <c r="F145" s="9">
        <v>0</v>
      </c>
      <c r="G145" s="6">
        <f t="shared" si="2"/>
        <v>0</v>
      </c>
      <c r="H145" s="93"/>
      <c r="I145" s="94"/>
    </row>
    <row r="146" spans="1:9">
      <c r="A146" s="7">
        <v>46167</v>
      </c>
      <c r="B146" s="5" t="s">
        <v>14</v>
      </c>
      <c r="C146" s="9">
        <v>0</v>
      </c>
      <c r="D146" s="9">
        <v>0</v>
      </c>
      <c r="E146" s="9">
        <v>0</v>
      </c>
      <c r="F146" s="9">
        <v>0</v>
      </c>
      <c r="G146" s="6">
        <f t="shared" si="2"/>
        <v>0</v>
      </c>
      <c r="H146" s="91">
        <f>SUM(G146:G152)</f>
        <v>0</v>
      </c>
      <c r="I146" s="94"/>
    </row>
    <row r="147" spans="1:9">
      <c r="A147" s="7">
        <v>46168</v>
      </c>
      <c r="B147" s="5" t="s">
        <v>14</v>
      </c>
      <c r="C147" s="9">
        <v>0</v>
      </c>
      <c r="D147" s="9">
        <v>0</v>
      </c>
      <c r="E147" s="9">
        <v>0</v>
      </c>
      <c r="F147" s="9">
        <v>0</v>
      </c>
      <c r="G147" s="6">
        <f t="shared" si="2"/>
        <v>0</v>
      </c>
      <c r="H147" s="92"/>
      <c r="I147" s="94"/>
    </row>
    <row r="148" spans="1:9">
      <c r="A148" s="7">
        <v>46169</v>
      </c>
      <c r="B148" s="5" t="s">
        <v>14</v>
      </c>
      <c r="C148" s="9">
        <v>0</v>
      </c>
      <c r="D148" s="9">
        <v>0</v>
      </c>
      <c r="E148" s="9">
        <v>0</v>
      </c>
      <c r="F148" s="9">
        <v>0</v>
      </c>
      <c r="G148" s="6">
        <f t="shared" si="2"/>
        <v>0</v>
      </c>
      <c r="H148" s="92"/>
      <c r="I148" s="94"/>
    </row>
    <row r="149" spans="1:9">
      <c r="A149" s="7">
        <v>46170</v>
      </c>
      <c r="B149" s="5" t="s">
        <v>14</v>
      </c>
      <c r="C149" s="9">
        <v>0</v>
      </c>
      <c r="D149" s="9">
        <v>0</v>
      </c>
      <c r="E149" s="9">
        <v>0</v>
      </c>
      <c r="F149" s="9">
        <v>0</v>
      </c>
      <c r="G149" s="6">
        <f t="shared" si="2"/>
        <v>0</v>
      </c>
      <c r="H149" s="92"/>
      <c r="I149" s="94"/>
    </row>
    <row r="150" spans="1:9">
      <c r="A150" s="7">
        <v>46171</v>
      </c>
      <c r="B150" s="5" t="s">
        <v>14</v>
      </c>
      <c r="C150" s="9">
        <v>0</v>
      </c>
      <c r="D150" s="9">
        <v>0</v>
      </c>
      <c r="E150" s="9">
        <v>0</v>
      </c>
      <c r="F150" s="9">
        <v>0</v>
      </c>
      <c r="G150" s="6">
        <f t="shared" si="2"/>
        <v>0</v>
      </c>
      <c r="H150" s="92"/>
      <c r="I150" s="94"/>
    </row>
    <row r="151" spans="1:9">
      <c r="A151" s="7">
        <v>46172</v>
      </c>
      <c r="B151" s="5" t="s">
        <v>14</v>
      </c>
      <c r="C151" s="9">
        <v>0</v>
      </c>
      <c r="D151" s="9">
        <v>0</v>
      </c>
      <c r="E151" s="9">
        <v>0</v>
      </c>
      <c r="F151" s="9">
        <v>0</v>
      </c>
      <c r="G151" s="6">
        <f t="shared" si="2"/>
        <v>0</v>
      </c>
      <c r="H151" s="92"/>
      <c r="I151" s="94"/>
    </row>
    <row r="152" spans="1:9">
      <c r="A152" s="7">
        <v>46173</v>
      </c>
      <c r="B152" s="5" t="s">
        <v>14</v>
      </c>
      <c r="C152" s="9">
        <v>0</v>
      </c>
      <c r="D152" s="9">
        <v>0</v>
      </c>
      <c r="E152" s="9">
        <v>0</v>
      </c>
      <c r="F152" s="9">
        <v>0</v>
      </c>
      <c r="G152" s="6">
        <f t="shared" si="2"/>
        <v>0</v>
      </c>
      <c r="H152" s="93"/>
      <c r="I152" s="94"/>
    </row>
    <row r="153" spans="1:9">
      <c r="A153" s="7">
        <v>46174</v>
      </c>
      <c r="B153" s="5" t="s">
        <v>14</v>
      </c>
      <c r="C153" s="9">
        <v>0</v>
      </c>
      <c r="D153" s="9">
        <v>0</v>
      </c>
      <c r="E153" s="9">
        <v>0</v>
      </c>
      <c r="F153" s="9">
        <v>0</v>
      </c>
      <c r="G153" s="6">
        <f t="shared" si="2"/>
        <v>0</v>
      </c>
      <c r="H153" s="91">
        <f>SUM(G153:G159)</f>
        <v>0</v>
      </c>
      <c r="I153" s="94"/>
    </row>
    <row r="154" spans="1:9">
      <c r="A154" s="7">
        <v>46175</v>
      </c>
      <c r="B154" s="5" t="s">
        <v>14</v>
      </c>
      <c r="C154" s="9">
        <v>0</v>
      </c>
      <c r="D154" s="9">
        <v>0</v>
      </c>
      <c r="E154" s="9">
        <v>0</v>
      </c>
      <c r="F154" s="9">
        <v>0</v>
      </c>
      <c r="G154" s="6">
        <f t="shared" si="2"/>
        <v>0</v>
      </c>
      <c r="H154" s="92"/>
      <c r="I154" s="94"/>
    </row>
    <row r="155" spans="1:9">
      <c r="A155" s="7">
        <v>46176</v>
      </c>
      <c r="B155" s="5" t="s">
        <v>14</v>
      </c>
      <c r="C155" s="9">
        <v>0</v>
      </c>
      <c r="D155" s="9">
        <v>0</v>
      </c>
      <c r="E155" s="9">
        <v>0</v>
      </c>
      <c r="F155" s="9">
        <v>0</v>
      </c>
      <c r="G155" s="6">
        <f t="shared" si="2"/>
        <v>0</v>
      </c>
      <c r="H155" s="92"/>
      <c r="I155" s="94"/>
    </row>
    <row r="156" spans="1:9">
      <c r="A156" s="7">
        <v>46177</v>
      </c>
      <c r="B156" s="5" t="s">
        <v>14</v>
      </c>
      <c r="C156" s="9">
        <v>0</v>
      </c>
      <c r="D156" s="9">
        <v>0</v>
      </c>
      <c r="E156" s="9">
        <v>0</v>
      </c>
      <c r="F156" s="9">
        <v>0</v>
      </c>
      <c r="G156" s="6">
        <f t="shared" si="2"/>
        <v>0</v>
      </c>
      <c r="H156" s="92"/>
      <c r="I156" s="94"/>
    </row>
    <row r="157" spans="1:9">
      <c r="A157" s="7">
        <v>46178</v>
      </c>
      <c r="B157" s="5" t="s">
        <v>14</v>
      </c>
      <c r="C157" s="9">
        <v>0</v>
      </c>
      <c r="D157" s="9">
        <v>0</v>
      </c>
      <c r="E157" s="9">
        <v>0</v>
      </c>
      <c r="F157" s="9">
        <v>0</v>
      </c>
      <c r="G157" s="6">
        <f t="shared" si="2"/>
        <v>0</v>
      </c>
      <c r="H157" s="92"/>
      <c r="I157" s="94"/>
    </row>
    <row r="158" spans="1:9">
      <c r="A158" s="7">
        <v>46179</v>
      </c>
      <c r="B158" s="5" t="s">
        <v>14</v>
      </c>
      <c r="C158" s="9">
        <v>0</v>
      </c>
      <c r="D158" s="9">
        <v>0</v>
      </c>
      <c r="E158" s="9">
        <v>0</v>
      </c>
      <c r="F158" s="9">
        <v>0</v>
      </c>
      <c r="G158" s="6">
        <f t="shared" si="2"/>
        <v>0</v>
      </c>
      <c r="H158" s="92"/>
      <c r="I158" s="94"/>
    </row>
    <row r="159" spans="1:9">
      <c r="A159" s="7">
        <v>46180</v>
      </c>
      <c r="B159" s="5" t="s">
        <v>14</v>
      </c>
      <c r="C159" s="9">
        <v>0</v>
      </c>
      <c r="D159" s="9">
        <v>0</v>
      </c>
      <c r="E159" s="9">
        <v>0</v>
      </c>
      <c r="F159" s="9">
        <v>0</v>
      </c>
      <c r="G159" s="6">
        <f t="shared" si="2"/>
        <v>0</v>
      </c>
      <c r="H159" s="93"/>
      <c r="I159" s="94"/>
    </row>
    <row r="160" spans="1:9">
      <c r="A160" s="7">
        <v>46181</v>
      </c>
      <c r="B160" s="5" t="s">
        <v>14</v>
      </c>
      <c r="C160" s="9">
        <v>0</v>
      </c>
      <c r="D160" s="9">
        <v>0</v>
      </c>
      <c r="E160" s="9">
        <v>0</v>
      </c>
      <c r="F160" s="9">
        <v>0</v>
      </c>
      <c r="G160" s="6">
        <f t="shared" si="2"/>
        <v>0</v>
      </c>
      <c r="H160" s="91">
        <f>SUM(G160:G166)</f>
        <v>0</v>
      </c>
      <c r="I160" s="94"/>
    </row>
    <row r="161" spans="1:9">
      <c r="A161" s="7">
        <v>46182</v>
      </c>
      <c r="B161" s="5" t="s">
        <v>14</v>
      </c>
      <c r="C161" s="9">
        <v>0</v>
      </c>
      <c r="D161" s="9">
        <v>0</v>
      </c>
      <c r="E161" s="9">
        <v>0</v>
      </c>
      <c r="F161" s="9">
        <v>0</v>
      </c>
      <c r="G161" s="6">
        <f t="shared" si="2"/>
        <v>0</v>
      </c>
      <c r="H161" s="92"/>
      <c r="I161" s="94"/>
    </row>
    <row r="162" spans="1:9">
      <c r="A162" s="7">
        <v>46183</v>
      </c>
      <c r="B162" s="5" t="s">
        <v>14</v>
      </c>
      <c r="C162" s="9">
        <v>0</v>
      </c>
      <c r="D162" s="9">
        <v>0</v>
      </c>
      <c r="E162" s="9">
        <v>0</v>
      </c>
      <c r="F162" s="9">
        <v>0</v>
      </c>
      <c r="G162" s="6">
        <f t="shared" si="2"/>
        <v>0</v>
      </c>
      <c r="H162" s="92"/>
      <c r="I162" s="94"/>
    </row>
    <row r="163" spans="1:9">
      <c r="A163" s="7">
        <v>46184</v>
      </c>
      <c r="B163" s="5" t="s">
        <v>14</v>
      </c>
      <c r="C163" s="9">
        <v>0</v>
      </c>
      <c r="D163" s="9">
        <v>0</v>
      </c>
      <c r="E163" s="9">
        <v>0</v>
      </c>
      <c r="F163" s="9">
        <v>0</v>
      </c>
      <c r="G163" s="6">
        <f t="shared" si="2"/>
        <v>0</v>
      </c>
      <c r="H163" s="92"/>
      <c r="I163" s="94"/>
    </row>
    <row r="164" spans="1:9">
      <c r="A164" s="7">
        <v>46185</v>
      </c>
      <c r="B164" s="5" t="s">
        <v>14</v>
      </c>
      <c r="C164" s="9">
        <v>0</v>
      </c>
      <c r="D164" s="9">
        <v>0</v>
      </c>
      <c r="E164" s="9">
        <v>0</v>
      </c>
      <c r="F164" s="9">
        <v>0</v>
      </c>
      <c r="G164" s="6">
        <f t="shared" si="2"/>
        <v>0</v>
      </c>
      <c r="H164" s="92"/>
      <c r="I164" s="94"/>
    </row>
    <row r="165" spans="1:9">
      <c r="A165" s="7">
        <v>46186</v>
      </c>
      <c r="B165" s="5" t="s">
        <v>14</v>
      </c>
      <c r="C165" s="9">
        <v>0</v>
      </c>
      <c r="D165" s="9">
        <v>0</v>
      </c>
      <c r="E165" s="9">
        <v>0</v>
      </c>
      <c r="F165" s="9">
        <v>0</v>
      </c>
      <c r="G165" s="6">
        <f t="shared" si="2"/>
        <v>0</v>
      </c>
      <c r="H165" s="92"/>
      <c r="I165" s="94"/>
    </row>
    <row r="166" spans="1:9">
      <c r="A166" s="7">
        <v>46187</v>
      </c>
      <c r="B166" s="5" t="s">
        <v>14</v>
      </c>
      <c r="C166" s="9">
        <v>0</v>
      </c>
      <c r="D166" s="9">
        <v>0</v>
      </c>
      <c r="E166" s="9">
        <v>0</v>
      </c>
      <c r="F166" s="9">
        <v>0</v>
      </c>
      <c r="G166" s="6">
        <f t="shared" si="2"/>
        <v>0</v>
      </c>
      <c r="H166" s="93"/>
      <c r="I166" s="94"/>
    </row>
    <row r="167" spans="1:9">
      <c r="A167" s="7">
        <v>46188</v>
      </c>
      <c r="B167" s="5" t="s">
        <v>14</v>
      </c>
      <c r="C167" s="9">
        <v>0</v>
      </c>
      <c r="D167" s="9">
        <v>0</v>
      </c>
      <c r="E167" s="9">
        <v>0</v>
      </c>
      <c r="F167" s="9">
        <v>0</v>
      </c>
      <c r="G167" s="6">
        <f t="shared" si="2"/>
        <v>0</v>
      </c>
      <c r="H167" s="91">
        <f>SUM(G167:G173)</f>
        <v>0</v>
      </c>
      <c r="I167" s="94"/>
    </row>
    <row r="168" spans="1:9">
      <c r="A168" s="7">
        <v>46189</v>
      </c>
      <c r="B168" s="5" t="s">
        <v>14</v>
      </c>
      <c r="C168" s="9">
        <v>0</v>
      </c>
      <c r="D168" s="9">
        <v>0</v>
      </c>
      <c r="E168" s="9">
        <v>0</v>
      </c>
      <c r="F168" s="9">
        <v>0</v>
      </c>
      <c r="G168" s="6">
        <f t="shared" si="2"/>
        <v>0</v>
      </c>
      <c r="H168" s="92"/>
      <c r="I168" s="94"/>
    </row>
    <row r="169" spans="1:9">
      <c r="A169" s="7">
        <v>46190</v>
      </c>
      <c r="B169" s="5" t="s">
        <v>14</v>
      </c>
      <c r="C169" s="9">
        <v>0</v>
      </c>
      <c r="D169" s="9">
        <v>0</v>
      </c>
      <c r="E169" s="9">
        <v>0</v>
      </c>
      <c r="F169" s="9">
        <v>0</v>
      </c>
      <c r="G169" s="6">
        <f t="shared" si="2"/>
        <v>0</v>
      </c>
      <c r="H169" s="92"/>
      <c r="I169" s="94"/>
    </row>
    <row r="170" spans="1:9">
      <c r="A170" s="7">
        <v>46191</v>
      </c>
      <c r="B170" s="5" t="s">
        <v>14</v>
      </c>
      <c r="C170" s="9">
        <v>0</v>
      </c>
      <c r="D170" s="9">
        <v>0</v>
      </c>
      <c r="E170" s="9">
        <v>0</v>
      </c>
      <c r="F170" s="9">
        <v>0</v>
      </c>
      <c r="G170" s="6">
        <f t="shared" si="2"/>
        <v>0</v>
      </c>
      <c r="H170" s="92"/>
      <c r="I170" s="94"/>
    </row>
    <row r="171" spans="1:9">
      <c r="A171" s="7">
        <v>46192</v>
      </c>
      <c r="B171" s="5" t="s">
        <v>14</v>
      </c>
      <c r="C171" s="9">
        <v>0</v>
      </c>
      <c r="D171" s="9">
        <v>0</v>
      </c>
      <c r="E171" s="9">
        <v>0</v>
      </c>
      <c r="F171" s="9">
        <v>0</v>
      </c>
      <c r="G171" s="6">
        <f t="shared" si="2"/>
        <v>0</v>
      </c>
      <c r="H171" s="92"/>
      <c r="I171" s="94"/>
    </row>
    <row r="172" spans="1:9">
      <c r="A172" s="7">
        <v>46193</v>
      </c>
      <c r="B172" s="5" t="s">
        <v>14</v>
      </c>
      <c r="C172" s="9">
        <v>0</v>
      </c>
      <c r="D172" s="9">
        <v>0</v>
      </c>
      <c r="E172" s="9">
        <v>0</v>
      </c>
      <c r="F172" s="9">
        <v>0</v>
      </c>
      <c r="G172" s="6">
        <f t="shared" si="2"/>
        <v>0</v>
      </c>
      <c r="H172" s="92"/>
      <c r="I172" s="94"/>
    </row>
    <row r="173" spans="1:9">
      <c r="A173" s="7">
        <v>46194</v>
      </c>
      <c r="B173" s="5" t="s">
        <v>14</v>
      </c>
      <c r="C173" s="9">
        <v>0</v>
      </c>
      <c r="D173" s="9">
        <v>0</v>
      </c>
      <c r="E173" s="9">
        <v>0</v>
      </c>
      <c r="F173" s="9">
        <v>0</v>
      </c>
      <c r="G173" s="6">
        <f t="shared" si="2"/>
        <v>0</v>
      </c>
      <c r="H173" s="93"/>
      <c r="I173" s="94"/>
    </row>
    <row r="174" spans="1:9">
      <c r="A174" s="7">
        <v>46195</v>
      </c>
      <c r="B174" s="5" t="s">
        <v>14</v>
      </c>
      <c r="C174" s="9">
        <v>0</v>
      </c>
      <c r="D174" s="9">
        <v>0</v>
      </c>
      <c r="E174" s="9">
        <v>0</v>
      </c>
      <c r="F174" s="9">
        <v>0</v>
      </c>
      <c r="G174" s="6">
        <f t="shared" si="2"/>
        <v>0</v>
      </c>
      <c r="H174" s="91">
        <f>SUM(G174:G180)</f>
        <v>0</v>
      </c>
      <c r="I174" s="94"/>
    </row>
    <row r="175" spans="1:9">
      <c r="A175" s="7">
        <v>46196</v>
      </c>
      <c r="B175" s="5" t="s">
        <v>14</v>
      </c>
      <c r="C175" s="9">
        <v>0</v>
      </c>
      <c r="D175" s="9">
        <v>0</v>
      </c>
      <c r="E175" s="9">
        <v>0</v>
      </c>
      <c r="F175" s="9">
        <v>0</v>
      </c>
      <c r="G175" s="6">
        <f t="shared" si="2"/>
        <v>0</v>
      </c>
      <c r="H175" s="92"/>
      <c r="I175" s="94"/>
    </row>
    <row r="176" spans="1:9">
      <c r="A176" s="7">
        <v>46197</v>
      </c>
      <c r="B176" s="5" t="s">
        <v>14</v>
      </c>
      <c r="C176" s="9">
        <v>0</v>
      </c>
      <c r="D176" s="9">
        <v>0</v>
      </c>
      <c r="E176" s="9">
        <v>0</v>
      </c>
      <c r="F176" s="9">
        <v>0</v>
      </c>
      <c r="G176" s="6">
        <f t="shared" si="2"/>
        <v>0</v>
      </c>
      <c r="H176" s="92"/>
      <c r="I176" s="94"/>
    </row>
    <row r="177" spans="1:9">
      <c r="A177" s="7">
        <v>46198</v>
      </c>
      <c r="B177" s="5" t="s">
        <v>14</v>
      </c>
      <c r="C177" s="9">
        <v>0</v>
      </c>
      <c r="D177" s="9">
        <v>0</v>
      </c>
      <c r="E177" s="9">
        <v>0</v>
      </c>
      <c r="F177" s="9">
        <v>0</v>
      </c>
      <c r="G177" s="6">
        <f t="shared" si="2"/>
        <v>0</v>
      </c>
      <c r="H177" s="92"/>
      <c r="I177" s="94"/>
    </row>
    <row r="178" spans="1:9">
      <c r="A178" s="7">
        <v>46199</v>
      </c>
      <c r="B178" s="5" t="s">
        <v>14</v>
      </c>
      <c r="C178" s="9">
        <v>0</v>
      </c>
      <c r="D178" s="9">
        <v>0</v>
      </c>
      <c r="E178" s="9">
        <v>0</v>
      </c>
      <c r="F178" s="9">
        <v>0</v>
      </c>
      <c r="G178" s="6">
        <f t="shared" si="2"/>
        <v>0</v>
      </c>
      <c r="H178" s="92"/>
      <c r="I178" s="94"/>
    </row>
    <row r="179" spans="1:9">
      <c r="A179" s="7">
        <v>46200</v>
      </c>
      <c r="B179" s="5" t="s">
        <v>14</v>
      </c>
      <c r="C179" s="9">
        <v>0</v>
      </c>
      <c r="D179" s="9">
        <v>0</v>
      </c>
      <c r="E179" s="9">
        <v>0</v>
      </c>
      <c r="F179" s="9">
        <v>0</v>
      </c>
      <c r="G179" s="6">
        <f t="shared" si="2"/>
        <v>0</v>
      </c>
      <c r="H179" s="92"/>
      <c r="I179" s="94"/>
    </row>
    <row r="180" spans="1:9">
      <c r="A180" s="7">
        <v>46201</v>
      </c>
      <c r="B180" s="5" t="s">
        <v>14</v>
      </c>
      <c r="C180" s="9">
        <v>0</v>
      </c>
      <c r="D180" s="9">
        <v>0</v>
      </c>
      <c r="E180" s="9">
        <v>0</v>
      </c>
      <c r="F180" s="9">
        <v>0</v>
      </c>
      <c r="G180" s="6">
        <f t="shared" si="2"/>
        <v>0</v>
      </c>
      <c r="H180" s="93"/>
      <c r="I180" s="94"/>
    </row>
    <row r="181" spans="1:9">
      <c r="A181" s="7">
        <v>46202</v>
      </c>
      <c r="B181" s="5" t="s">
        <v>14</v>
      </c>
      <c r="C181" s="9">
        <v>0</v>
      </c>
      <c r="D181" s="9">
        <v>0</v>
      </c>
      <c r="E181" s="9">
        <v>0</v>
      </c>
      <c r="F181" s="9">
        <v>0</v>
      </c>
      <c r="G181" s="6">
        <f t="shared" si="2"/>
        <v>0</v>
      </c>
      <c r="H181" s="91">
        <f>SUM(G181:G187)</f>
        <v>0</v>
      </c>
      <c r="I181" s="94"/>
    </row>
    <row r="182" spans="1:9">
      <c r="A182" s="7">
        <v>46203</v>
      </c>
      <c r="B182" s="5" t="s">
        <v>14</v>
      </c>
      <c r="C182" s="9">
        <v>0</v>
      </c>
      <c r="D182" s="9">
        <v>0</v>
      </c>
      <c r="E182" s="9">
        <v>0</v>
      </c>
      <c r="F182" s="9">
        <v>0</v>
      </c>
      <c r="G182" s="6">
        <f t="shared" si="2"/>
        <v>0</v>
      </c>
      <c r="H182" s="92"/>
      <c r="I182" s="94"/>
    </row>
    <row r="183" spans="1:9">
      <c r="A183" s="7">
        <v>46204</v>
      </c>
      <c r="B183" s="5" t="s">
        <v>14</v>
      </c>
      <c r="C183" s="9">
        <v>0</v>
      </c>
      <c r="D183" s="9">
        <v>0</v>
      </c>
      <c r="E183" s="9">
        <v>0</v>
      </c>
      <c r="F183" s="9">
        <v>0</v>
      </c>
      <c r="G183" s="6">
        <f t="shared" si="2"/>
        <v>0</v>
      </c>
      <c r="H183" s="92"/>
      <c r="I183" s="94"/>
    </row>
    <row r="184" spans="1:9">
      <c r="A184" s="7">
        <v>46205</v>
      </c>
      <c r="B184" s="5" t="s">
        <v>14</v>
      </c>
      <c r="C184" s="9">
        <v>0</v>
      </c>
      <c r="D184" s="9">
        <v>0</v>
      </c>
      <c r="E184" s="9">
        <v>0</v>
      </c>
      <c r="F184" s="9">
        <v>0</v>
      </c>
      <c r="G184" s="6">
        <f t="shared" si="2"/>
        <v>0</v>
      </c>
      <c r="H184" s="92"/>
      <c r="I184" s="94"/>
    </row>
    <row r="185" spans="1:9">
      <c r="A185" s="7">
        <v>46206</v>
      </c>
      <c r="B185" s="5" t="s">
        <v>14</v>
      </c>
      <c r="C185" s="9">
        <v>0</v>
      </c>
      <c r="D185" s="9">
        <v>0</v>
      </c>
      <c r="E185" s="9">
        <v>0</v>
      </c>
      <c r="F185" s="9">
        <v>0</v>
      </c>
      <c r="G185" s="6">
        <f t="shared" si="2"/>
        <v>0</v>
      </c>
      <c r="H185" s="92"/>
      <c r="I185" s="94"/>
    </row>
    <row r="186" spans="1:9">
      <c r="A186" s="7">
        <v>46207</v>
      </c>
      <c r="B186" s="5" t="s">
        <v>14</v>
      </c>
      <c r="C186" s="9">
        <v>0</v>
      </c>
      <c r="D186" s="9">
        <v>0</v>
      </c>
      <c r="E186" s="9">
        <v>0</v>
      </c>
      <c r="F186" s="9">
        <v>0</v>
      </c>
      <c r="G186" s="6">
        <f t="shared" si="2"/>
        <v>0</v>
      </c>
      <c r="H186" s="92"/>
      <c r="I186" s="94"/>
    </row>
    <row r="187" spans="1:9">
      <c r="A187" s="7">
        <v>46208</v>
      </c>
      <c r="B187" s="5" t="s">
        <v>14</v>
      </c>
      <c r="C187" s="9">
        <v>0</v>
      </c>
      <c r="D187" s="9">
        <v>0</v>
      </c>
      <c r="E187" s="9">
        <v>0</v>
      </c>
      <c r="F187" s="9">
        <v>0</v>
      </c>
      <c r="G187" s="6">
        <f t="shared" si="2"/>
        <v>0</v>
      </c>
      <c r="H187" s="93"/>
      <c r="I187" s="94"/>
    </row>
    <row r="188" spans="1:9">
      <c r="A188" s="7">
        <v>46209</v>
      </c>
      <c r="B188" s="5" t="s">
        <v>14</v>
      </c>
      <c r="C188" s="9">
        <v>0</v>
      </c>
      <c r="D188" s="9">
        <v>0</v>
      </c>
      <c r="E188" s="9">
        <v>0</v>
      </c>
      <c r="F188" s="9">
        <v>0</v>
      </c>
      <c r="G188" s="6">
        <f t="shared" si="2"/>
        <v>0</v>
      </c>
      <c r="H188" s="91">
        <f>SUM(G188:G194)</f>
        <v>0</v>
      </c>
      <c r="I188" s="94"/>
    </row>
    <row r="189" spans="1:9">
      <c r="A189" s="7">
        <v>46210</v>
      </c>
      <c r="B189" s="5" t="s">
        <v>14</v>
      </c>
      <c r="C189" s="9">
        <v>0</v>
      </c>
      <c r="D189" s="9">
        <v>0</v>
      </c>
      <c r="E189" s="9">
        <v>0</v>
      </c>
      <c r="F189" s="9">
        <v>0</v>
      </c>
      <c r="G189" s="6">
        <f t="shared" si="2"/>
        <v>0</v>
      </c>
      <c r="H189" s="92"/>
      <c r="I189" s="94"/>
    </row>
    <row r="190" spans="1:9">
      <c r="A190" s="7">
        <v>46211</v>
      </c>
      <c r="B190" s="5" t="s">
        <v>14</v>
      </c>
      <c r="C190" s="9">
        <v>0</v>
      </c>
      <c r="D190" s="9">
        <v>0</v>
      </c>
      <c r="E190" s="9">
        <v>0</v>
      </c>
      <c r="F190" s="9">
        <v>0</v>
      </c>
      <c r="G190" s="6">
        <f t="shared" si="2"/>
        <v>0</v>
      </c>
      <c r="H190" s="92"/>
      <c r="I190" s="94"/>
    </row>
    <row r="191" spans="1:9">
      <c r="A191" s="7">
        <v>46212</v>
      </c>
      <c r="B191" s="5" t="s">
        <v>14</v>
      </c>
      <c r="C191" s="9">
        <v>0</v>
      </c>
      <c r="D191" s="9">
        <v>0</v>
      </c>
      <c r="E191" s="9">
        <v>0</v>
      </c>
      <c r="F191" s="9">
        <v>0</v>
      </c>
      <c r="G191" s="6">
        <f t="shared" si="2"/>
        <v>0</v>
      </c>
      <c r="H191" s="92"/>
      <c r="I191" s="94"/>
    </row>
    <row r="192" spans="1:9">
      <c r="A192" s="7">
        <v>46213</v>
      </c>
      <c r="B192" s="5" t="s">
        <v>14</v>
      </c>
      <c r="C192" s="9">
        <v>0</v>
      </c>
      <c r="D192" s="9">
        <v>0</v>
      </c>
      <c r="E192" s="9">
        <v>0</v>
      </c>
      <c r="F192" s="9">
        <v>0</v>
      </c>
      <c r="G192" s="6">
        <f t="shared" si="2"/>
        <v>0</v>
      </c>
      <c r="H192" s="92"/>
      <c r="I192" s="94"/>
    </row>
    <row r="193" spans="1:9">
      <c r="A193" s="7">
        <v>46214</v>
      </c>
      <c r="B193" s="5" t="s">
        <v>14</v>
      </c>
      <c r="C193" s="9">
        <v>0</v>
      </c>
      <c r="D193" s="9">
        <v>0</v>
      </c>
      <c r="E193" s="9">
        <v>0</v>
      </c>
      <c r="F193" s="9">
        <v>0</v>
      </c>
      <c r="G193" s="6">
        <f t="shared" si="2"/>
        <v>0</v>
      </c>
      <c r="H193" s="92"/>
      <c r="I193" s="94"/>
    </row>
    <row r="194" spans="1:9">
      <c r="A194" s="7">
        <v>46215</v>
      </c>
      <c r="B194" s="5" t="s">
        <v>14</v>
      </c>
      <c r="C194" s="9">
        <v>0</v>
      </c>
      <c r="D194" s="9">
        <v>0</v>
      </c>
      <c r="E194" s="9">
        <v>0</v>
      </c>
      <c r="F194" s="9">
        <v>0</v>
      </c>
      <c r="G194" s="6">
        <f t="shared" si="2"/>
        <v>0</v>
      </c>
      <c r="H194" s="93"/>
      <c r="I194" s="94"/>
    </row>
    <row r="195" spans="1:9">
      <c r="A195" s="7">
        <v>46216</v>
      </c>
      <c r="B195" s="5" t="s">
        <v>14</v>
      </c>
      <c r="C195" s="9">
        <v>0</v>
      </c>
      <c r="D195" s="9">
        <v>0</v>
      </c>
      <c r="E195" s="9">
        <v>0</v>
      </c>
      <c r="F195" s="9">
        <v>0</v>
      </c>
      <c r="G195" s="6">
        <f t="shared" ref="G195:G258" si="3">SUM(F195,E195,C195-D195)</f>
        <v>0</v>
      </c>
      <c r="H195" s="91">
        <f>SUM(G195:G201)</f>
        <v>0</v>
      </c>
      <c r="I195" s="94"/>
    </row>
    <row r="196" spans="1:9">
      <c r="A196" s="7">
        <v>46217</v>
      </c>
      <c r="B196" s="5" t="s">
        <v>14</v>
      </c>
      <c r="C196" s="9">
        <v>0</v>
      </c>
      <c r="D196" s="9">
        <v>0</v>
      </c>
      <c r="E196" s="9">
        <v>0</v>
      </c>
      <c r="F196" s="9">
        <v>0</v>
      </c>
      <c r="G196" s="6">
        <f t="shared" si="3"/>
        <v>0</v>
      </c>
      <c r="H196" s="92"/>
      <c r="I196" s="94"/>
    </row>
    <row r="197" spans="1:9">
      <c r="A197" s="7">
        <v>46218</v>
      </c>
      <c r="B197" s="5" t="s">
        <v>14</v>
      </c>
      <c r="C197" s="9">
        <v>0</v>
      </c>
      <c r="D197" s="9">
        <v>0</v>
      </c>
      <c r="E197" s="9">
        <v>0</v>
      </c>
      <c r="F197" s="9">
        <v>0</v>
      </c>
      <c r="G197" s="6">
        <f t="shared" si="3"/>
        <v>0</v>
      </c>
      <c r="H197" s="92"/>
      <c r="I197" s="94"/>
    </row>
    <row r="198" spans="1:9">
      <c r="A198" s="7">
        <v>46219</v>
      </c>
      <c r="B198" s="5" t="s">
        <v>14</v>
      </c>
      <c r="C198" s="9">
        <v>0</v>
      </c>
      <c r="D198" s="9">
        <v>0</v>
      </c>
      <c r="E198" s="9">
        <v>0</v>
      </c>
      <c r="F198" s="9">
        <v>0</v>
      </c>
      <c r="G198" s="6">
        <f t="shared" si="3"/>
        <v>0</v>
      </c>
      <c r="H198" s="92"/>
      <c r="I198" s="94"/>
    </row>
    <row r="199" spans="1:9">
      <c r="A199" s="7">
        <v>46220</v>
      </c>
      <c r="B199" s="5" t="s">
        <v>14</v>
      </c>
      <c r="C199" s="9">
        <v>0</v>
      </c>
      <c r="D199" s="9">
        <v>0</v>
      </c>
      <c r="E199" s="9">
        <v>0</v>
      </c>
      <c r="F199" s="9">
        <v>0</v>
      </c>
      <c r="G199" s="6">
        <f t="shared" si="3"/>
        <v>0</v>
      </c>
      <c r="H199" s="92"/>
      <c r="I199" s="94"/>
    </row>
    <row r="200" spans="1:9">
      <c r="A200" s="7">
        <v>46221</v>
      </c>
      <c r="B200" s="5" t="s">
        <v>14</v>
      </c>
      <c r="C200" s="9">
        <v>0</v>
      </c>
      <c r="D200" s="9">
        <v>0</v>
      </c>
      <c r="E200" s="9">
        <v>0</v>
      </c>
      <c r="F200" s="9">
        <v>0</v>
      </c>
      <c r="G200" s="6">
        <f t="shared" si="3"/>
        <v>0</v>
      </c>
      <c r="H200" s="92"/>
      <c r="I200" s="94"/>
    </row>
    <row r="201" spans="1:9">
      <c r="A201" s="7">
        <v>46222</v>
      </c>
      <c r="B201" s="5" t="s">
        <v>14</v>
      </c>
      <c r="C201" s="9">
        <v>0</v>
      </c>
      <c r="D201" s="9">
        <v>0</v>
      </c>
      <c r="E201" s="9">
        <v>0</v>
      </c>
      <c r="F201" s="9">
        <v>0</v>
      </c>
      <c r="G201" s="6">
        <f t="shared" si="3"/>
        <v>0</v>
      </c>
      <c r="H201" s="93"/>
      <c r="I201" s="94"/>
    </row>
    <row r="202" spans="1:9">
      <c r="A202" s="7">
        <v>46223</v>
      </c>
      <c r="B202" s="5" t="s">
        <v>14</v>
      </c>
      <c r="C202" s="9">
        <v>0</v>
      </c>
      <c r="D202" s="9">
        <v>0</v>
      </c>
      <c r="E202" s="9">
        <v>0</v>
      </c>
      <c r="F202" s="9">
        <v>0</v>
      </c>
      <c r="G202" s="6">
        <f t="shared" si="3"/>
        <v>0</v>
      </c>
      <c r="H202" s="91">
        <f>SUM(G202:G208)</f>
        <v>0</v>
      </c>
      <c r="I202" s="94"/>
    </row>
    <row r="203" spans="1:9">
      <c r="A203" s="7">
        <v>46224</v>
      </c>
      <c r="B203" s="5" t="s">
        <v>14</v>
      </c>
      <c r="C203" s="9">
        <v>0</v>
      </c>
      <c r="D203" s="9">
        <v>0</v>
      </c>
      <c r="E203" s="9">
        <v>0</v>
      </c>
      <c r="F203" s="9">
        <v>0</v>
      </c>
      <c r="G203" s="6">
        <f t="shared" si="3"/>
        <v>0</v>
      </c>
      <c r="H203" s="92"/>
      <c r="I203" s="94"/>
    </row>
    <row r="204" spans="1:9">
      <c r="A204" s="7">
        <v>46225</v>
      </c>
      <c r="B204" s="5" t="s">
        <v>14</v>
      </c>
      <c r="C204" s="9">
        <v>0</v>
      </c>
      <c r="D204" s="9">
        <v>0</v>
      </c>
      <c r="E204" s="9">
        <v>0</v>
      </c>
      <c r="F204" s="9">
        <v>0</v>
      </c>
      <c r="G204" s="6">
        <f t="shared" si="3"/>
        <v>0</v>
      </c>
      <c r="H204" s="92"/>
      <c r="I204" s="94"/>
    </row>
    <row r="205" spans="1:9">
      <c r="A205" s="7">
        <v>46226</v>
      </c>
      <c r="B205" s="5" t="s">
        <v>14</v>
      </c>
      <c r="C205" s="9">
        <v>0</v>
      </c>
      <c r="D205" s="9">
        <v>0</v>
      </c>
      <c r="E205" s="9">
        <v>0</v>
      </c>
      <c r="F205" s="9">
        <v>0</v>
      </c>
      <c r="G205" s="6">
        <f t="shared" si="3"/>
        <v>0</v>
      </c>
      <c r="H205" s="92"/>
      <c r="I205" s="94"/>
    </row>
    <row r="206" spans="1:9">
      <c r="A206" s="7">
        <v>46227</v>
      </c>
      <c r="B206" s="5" t="s">
        <v>14</v>
      </c>
      <c r="C206" s="9">
        <v>0</v>
      </c>
      <c r="D206" s="9">
        <v>0</v>
      </c>
      <c r="E206" s="9">
        <v>0</v>
      </c>
      <c r="F206" s="9">
        <v>0</v>
      </c>
      <c r="G206" s="6">
        <f t="shared" si="3"/>
        <v>0</v>
      </c>
      <c r="H206" s="92"/>
      <c r="I206" s="94"/>
    </row>
    <row r="207" spans="1:9">
      <c r="A207" s="7">
        <v>46228</v>
      </c>
      <c r="B207" s="5" t="s">
        <v>14</v>
      </c>
      <c r="C207" s="9">
        <v>0</v>
      </c>
      <c r="D207" s="9">
        <v>0</v>
      </c>
      <c r="E207" s="9">
        <v>0</v>
      </c>
      <c r="F207" s="9">
        <v>0</v>
      </c>
      <c r="G207" s="6">
        <f t="shared" si="3"/>
        <v>0</v>
      </c>
      <c r="H207" s="92"/>
      <c r="I207" s="94"/>
    </row>
    <row r="208" spans="1:9">
      <c r="A208" s="7">
        <v>46229</v>
      </c>
      <c r="B208" s="5" t="s">
        <v>14</v>
      </c>
      <c r="C208" s="9">
        <v>0</v>
      </c>
      <c r="D208" s="9">
        <v>0</v>
      </c>
      <c r="E208" s="9">
        <v>0</v>
      </c>
      <c r="F208" s="9">
        <v>0</v>
      </c>
      <c r="G208" s="6">
        <f t="shared" si="3"/>
        <v>0</v>
      </c>
      <c r="H208" s="93"/>
      <c r="I208" s="94"/>
    </row>
    <row r="209" spans="1:9">
      <c r="A209" s="7">
        <v>46230</v>
      </c>
      <c r="B209" s="5" t="s">
        <v>14</v>
      </c>
      <c r="C209" s="9">
        <v>0</v>
      </c>
      <c r="D209" s="9">
        <v>0</v>
      </c>
      <c r="E209" s="9">
        <v>0</v>
      </c>
      <c r="F209" s="9">
        <v>0</v>
      </c>
      <c r="G209" s="6">
        <f t="shared" si="3"/>
        <v>0</v>
      </c>
      <c r="H209" s="91">
        <f>SUM(G209:G215)</f>
        <v>0</v>
      </c>
      <c r="I209" s="94"/>
    </row>
    <row r="210" spans="1:9">
      <c r="A210" s="7">
        <v>46231</v>
      </c>
      <c r="B210" s="5" t="s">
        <v>14</v>
      </c>
      <c r="C210" s="9">
        <v>0</v>
      </c>
      <c r="D210" s="9">
        <v>0</v>
      </c>
      <c r="E210" s="9">
        <v>0</v>
      </c>
      <c r="F210" s="9">
        <v>0</v>
      </c>
      <c r="G210" s="6">
        <f t="shared" si="3"/>
        <v>0</v>
      </c>
      <c r="H210" s="92"/>
      <c r="I210" s="94"/>
    </row>
    <row r="211" spans="1:9">
      <c r="A211" s="7">
        <v>46232</v>
      </c>
      <c r="B211" s="5" t="s">
        <v>14</v>
      </c>
      <c r="C211" s="9">
        <v>0</v>
      </c>
      <c r="D211" s="9">
        <v>0</v>
      </c>
      <c r="E211" s="9">
        <v>0</v>
      </c>
      <c r="F211" s="9">
        <v>0</v>
      </c>
      <c r="G211" s="6">
        <f t="shared" si="3"/>
        <v>0</v>
      </c>
      <c r="H211" s="92"/>
      <c r="I211" s="94"/>
    </row>
    <row r="212" spans="1:9">
      <c r="A212" s="7">
        <v>46233</v>
      </c>
      <c r="B212" s="5" t="s">
        <v>14</v>
      </c>
      <c r="C212" s="9">
        <v>0</v>
      </c>
      <c r="D212" s="9">
        <v>0</v>
      </c>
      <c r="E212" s="9">
        <v>0</v>
      </c>
      <c r="F212" s="9">
        <v>0</v>
      </c>
      <c r="G212" s="6">
        <f t="shared" si="3"/>
        <v>0</v>
      </c>
      <c r="H212" s="92"/>
      <c r="I212" s="94"/>
    </row>
    <row r="213" spans="1:9">
      <c r="A213" s="7">
        <v>46234</v>
      </c>
      <c r="B213" s="5" t="s">
        <v>14</v>
      </c>
      <c r="C213" s="9">
        <v>0</v>
      </c>
      <c r="D213" s="9">
        <v>0</v>
      </c>
      <c r="E213" s="9">
        <v>0</v>
      </c>
      <c r="F213" s="9">
        <v>0</v>
      </c>
      <c r="G213" s="6">
        <f t="shared" si="3"/>
        <v>0</v>
      </c>
      <c r="H213" s="92"/>
      <c r="I213" s="94"/>
    </row>
    <row r="214" spans="1:9">
      <c r="A214" s="7">
        <v>46235</v>
      </c>
      <c r="B214" s="5" t="s">
        <v>14</v>
      </c>
      <c r="C214" s="9">
        <v>0</v>
      </c>
      <c r="D214" s="9">
        <v>0</v>
      </c>
      <c r="E214" s="9">
        <v>0</v>
      </c>
      <c r="F214" s="9">
        <v>0</v>
      </c>
      <c r="G214" s="6">
        <f t="shared" si="3"/>
        <v>0</v>
      </c>
      <c r="H214" s="92"/>
      <c r="I214" s="94"/>
    </row>
    <row r="215" spans="1:9">
      <c r="A215" s="7">
        <v>46236</v>
      </c>
      <c r="B215" s="5" t="s">
        <v>14</v>
      </c>
      <c r="C215" s="9">
        <v>0</v>
      </c>
      <c r="D215" s="9">
        <v>0</v>
      </c>
      <c r="E215" s="9">
        <v>0</v>
      </c>
      <c r="F215" s="9">
        <v>0</v>
      </c>
      <c r="G215" s="6">
        <f t="shared" si="3"/>
        <v>0</v>
      </c>
      <c r="H215" s="93"/>
      <c r="I215" s="94"/>
    </row>
    <row r="216" spans="1:9">
      <c r="A216" s="7">
        <v>46237</v>
      </c>
      <c r="B216" s="5" t="s">
        <v>14</v>
      </c>
      <c r="C216" s="9">
        <v>0</v>
      </c>
      <c r="D216" s="9">
        <v>0</v>
      </c>
      <c r="E216" s="9">
        <v>0</v>
      </c>
      <c r="F216" s="9">
        <v>0</v>
      </c>
      <c r="G216" s="6">
        <f t="shared" si="3"/>
        <v>0</v>
      </c>
      <c r="H216" s="91">
        <f>SUM(G216:G222)</f>
        <v>0</v>
      </c>
      <c r="I216" s="94"/>
    </row>
    <row r="217" spans="1:9">
      <c r="A217" s="7">
        <v>46238</v>
      </c>
      <c r="B217" s="5" t="s">
        <v>14</v>
      </c>
      <c r="C217" s="9">
        <v>0</v>
      </c>
      <c r="D217" s="9">
        <v>0</v>
      </c>
      <c r="E217" s="9">
        <v>0</v>
      </c>
      <c r="F217" s="9">
        <v>0</v>
      </c>
      <c r="G217" s="6">
        <f t="shared" si="3"/>
        <v>0</v>
      </c>
      <c r="H217" s="92"/>
      <c r="I217" s="94"/>
    </row>
    <row r="218" spans="1:9">
      <c r="A218" s="7">
        <v>46239</v>
      </c>
      <c r="B218" s="5" t="s">
        <v>14</v>
      </c>
      <c r="C218" s="9">
        <v>0</v>
      </c>
      <c r="D218" s="9">
        <v>0</v>
      </c>
      <c r="E218" s="9">
        <v>0</v>
      </c>
      <c r="F218" s="9">
        <v>0</v>
      </c>
      <c r="G218" s="6">
        <f t="shared" si="3"/>
        <v>0</v>
      </c>
      <c r="H218" s="92"/>
      <c r="I218" s="94"/>
    </row>
    <row r="219" spans="1:9">
      <c r="A219" s="7">
        <v>46240</v>
      </c>
      <c r="B219" s="5" t="s">
        <v>14</v>
      </c>
      <c r="C219" s="9">
        <v>0</v>
      </c>
      <c r="D219" s="9">
        <v>0</v>
      </c>
      <c r="E219" s="9">
        <v>0</v>
      </c>
      <c r="F219" s="9">
        <v>0</v>
      </c>
      <c r="G219" s="6">
        <f t="shared" si="3"/>
        <v>0</v>
      </c>
      <c r="H219" s="92"/>
      <c r="I219" s="94"/>
    </row>
    <row r="220" spans="1:9">
      <c r="A220" s="7">
        <v>46241</v>
      </c>
      <c r="B220" s="5" t="s">
        <v>14</v>
      </c>
      <c r="C220" s="9">
        <v>0</v>
      </c>
      <c r="D220" s="9">
        <v>0</v>
      </c>
      <c r="E220" s="9">
        <v>0</v>
      </c>
      <c r="F220" s="9">
        <v>0</v>
      </c>
      <c r="G220" s="6">
        <f t="shared" si="3"/>
        <v>0</v>
      </c>
      <c r="H220" s="92"/>
      <c r="I220" s="94"/>
    </row>
    <row r="221" spans="1:9">
      <c r="A221" s="7">
        <v>46242</v>
      </c>
      <c r="B221" s="5" t="s">
        <v>14</v>
      </c>
      <c r="C221" s="9">
        <v>0</v>
      </c>
      <c r="D221" s="9">
        <v>0</v>
      </c>
      <c r="E221" s="9">
        <v>0</v>
      </c>
      <c r="F221" s="9">
        <v>0</v>
      </c>
      <c r="G221" s="6">
        <f t="shared" si="3"/>
        <v>0</v>
      </c>
      <c r="H221" s="92"/>
      <c r="I221" s="94"/>
    </row>
    <row r="222" spans="1:9">
      <c r="A222" s="7">
        <v>46243</v>
      </c>
      <c r="B222" s="5" t="s">
        <v>14</v>
      </c>
      <c r="C222" s="9">
        <v>0</v>
      </c>
      <c r="D222" s="9">
        <v>0</v>
      </c>
      <c r="E222" s="9">
        <v>0</v>
      </c>
      <c r="F222" s="9">
        <v>0</v>
      </c>
      <c r="G222" s="6">
        <f t="shared" si="3"/>
        <v>0</v>
      </c>
      <c r="H222" s="93"/>
      <c r="I222" s="94"/>
    </row>
    <row r="223" spans="1:9">
      <c r="A223" s="7">
        <v>46244</v>
      </c>
      <c r="B223" s="5" t="s">
        <v>14</v>
      </c>
      <c r="C223" s="9">
        <v>0</v>
      </c>
      <c r="D223" s="9">
        <v>0</v>
      </c>
      <c r="E223" s="9">
        <v>0</v>
      </c>
      <c r="F223" s="9">
        <v>0</v>
      </c>
      <c r="G223" s="6">
        <f t="shared" si="3"/>
        <v>0</v>
      </c>
      <c r="H223" s="91">
        <f>SUM(G223:G229)</f>
        <v>0</v>
      </c>
      <c r="I223" s="94"/>
    </row>
    <row r="224" spans="1:9">
      <c r="A224" s="7">
        <v>46245</v>
      </c>
      <c r="B224" s="5" t="s">
        <v>14</v>
      </c>
      <c r="C224" s="9">
        <v>0</v>
      </c>
      <c r="D224" s="9">
        <v>0</v>
      </c>
      <c r="E224" s="9">
        <v>0</v>
      </c>
      <c r="F224" s="9">
        <v>0</v>
      </c>
      <c r="G224" s="6">
        <f t="shared" si="3"/>
        <v>0</v>
      </c>
      <c r="H224" s="92"/>
      <c r="I224" s="94"/>
    </row>
    <row r="225" spans="1:9">
      <c r="A225" s="7">
        <v>46246</v>
      </c>
      <c r="B225" s="5" t="s">
        <v>14</v>
      </c>
      <c r="C225" s="9">
        <v>0</v>
      </c>
      <c r="D225" s="9">
        <v>0</v>
      </c>
      <c r="E225" s="9">
        <v>0</v>
      </c>
      <c r="F225" s="9">
        <v>0</v>
      </c>
      <c r="G225" s="6">
        <f t="shared" si="3"/>
        <v>0</v>
      </c>
      <c r="H225" s="92"/>
      <c r="I225" s="94"/>
    </row>
    <row r="226" spans="1:9">
      <c r="A226" s="7">
        <v>46247</v>
      </c>
      <c r="B226" s="5" t="s">
        <v>14</v>
      </c>
      <c r="C226" s="9">
        <v>0</v>
      </c>
      <c r="D226" s="9">
        <v>0</v>
      </c>
      <c r="E226" s="9">
        <v>0</v>
      </c>
      <c r="F226" s="9">
        <v>0</v>
      </c>
      <c r="G226" s="6">
        <f t="shared" si="3"/>
        <v>0</v>
      </c>
      <c r="H226" s="92"/>
      <c r="I226" s="94"/>
    </row>
    <row r="227" spans="1:9">
      <c r="A227" s="7">
        <v>46248</v>
      </c>
      <c r="B227" s="5" t="s">
        <v>14</v>
      </c>
      <c r="C227" s="9">
        <v>0</v>
      </c>
      <c r="D227" s="9">
        <v>0</v>
      </c>
      <c r="E227" s="9">
        <v>0</v>
      </c>
      <c r="F227" s="9">
        <v>0</v>
      </c>
      <c r="G227" s="6">
        <f t="shared" si="3"/>
        <v>0</v>
      </c>
      <c r="H227" s="92"/>
      <c r="I227" s="94"/>
    </row>
    <row r="228" spans="1:9">
      <c r="A228" s="7">
        <v>46249</v>
      </c>
      <c r="B228" s="5" t="s">
        <v>14</v>
      </c>
      <c r="C228" s="9">
        <v>0</v>
      </c>
      <c r="D228" s="9">
        <v>0</v>
      </c>
      <c r="E228" s="9">
        <v>0</v>
      </c>
      <c r="F228" s="9">
        <v>0</v>
      </c>
      <c r="G228" s="6">
        <f t="shared" si="3"/>
        <v>0</v>
      </c>
      <c r="H228" s="92"/>
      <c r="I228" s="94"/>
    </row>
    <row r="229" spans="1:9">
      <c r="A229" s="7">
        <v>46250</v>
      </c>
      <c r="B229" s="5" t="s">
        <v>14</v>
      </c>
      <c r="C229" s="9">
        <v>0</v>
      </c>
      <c r="D229" s="9">
        <v>0</v>
      </c>
      <c r="E229" s="9">
        <v>0</v>
      </c>
      <c r="F229" s="9">
        <v>0</v>
      </c>
      <c r="G229" s="6">
        <f t="shared" si="3"/>
        <v>0</v>
      </c>
      <c r="H229" s="93"/>
      <c r="I229" s="94"/>
    </row>
    <row r="230" spans="1:9">
      <c r="A230" s="7">
        <v>46251</v>
      </c>
      <c r="B230" s="5" t="s">
        <v>14</v>
      </c>
      <c r="C230" s="9">
        <v>0</v>
      </c>
      <c r="D230" s="9">
        <v>0</v>
      </c>
      <c r="E230" s="9">
        <v>0</v>
      </c>
      <c r="F230" s="9">
        <v>0</v>
      </c>
      <c r="G230" s="6">
        <f t="shared" si="3"/>
        <v>0</v>
      </c>
      <c r="H230" s="91">
        <f>SUM(G230:G236)</f>
        <v>0</v>
      </c>
      <c r="I230" s="94"/>
    </row>
    <row r="231" spans="1:9">
      <c r="A231" s="7">
        <v>46252</v>
      </c>
      <c r="B231" s="5" t="s">
        <v>14</v>
      </c>
      <c r="C231" s="9">
        <v>0</v>
      </c>
      <c r="D231" s="9">
        <v>0</v>
      </c>
      <c r="E231" s="9">
        <v>0</v>
      </c>
      <c r="F231" s="9">
        <v>0</v>
      </c>
      <c r="G231" s="6">
        <f t="shared" si="3"/>
        <v>0</v>
      </c>
      <c r="H231" s="92"/>
      <c r="I231" s="94"/>
    </row>
    <row r="232" spans="1:9">
      <c r="A232" s="7">
        <v>46253</v>
      </c>
      <c r="B232" s="5" t="s">
        <v>14</v>
      </c>
      <c r="C232" s="9">
        <v>0</v>
      </c>
      <c r="D232" s="9">
        <v>0</v>
      </c>
      <c r="E232" s="9">
        <v>0</v>
      </c>
      <c r="F232" s="9">
        <v>0</v>
      </c>
      <c r="G232" s="6">
        <f t="shared" si="3"/>
        <v>0</v>
      </c>
      <c r="H232" s="92"/>
      <c r="I232" s="94"/>
    </row>
    <row r="233" spans="1:9">
      <c r="A233" s="7">
        <v>46254</v>
      </c>
      <c r="B233" s="5" t="s">
        <v>14</v>
      </c>
      <c r="C233" s="9">
        <v>0</v>
      </c>
      <c r="D233" s="9">
        <v>0</v>
      </c>
      <c r="E233" s="9">
        <v>0</v>
      </c>
      <c r="F233" s="9">
        <v>0</v>
      </c>
      <c r="G233" s="6">
        <f t="shared" si="3"/>
        <v>0</v>
      </c>
      <c r="H233" s="92"/>
      <c r="I233" s="94"/>
    </row>
    <row r="234" spans="1:9">
      <c r="A234" s="7">
        <v>46255</v>
      </c>
      <c r="B234" s="5" t="s">
        <v>14</v>
      </c>
      <c r="C234" s="9">
        <v>0</v>
      </c>
      <c r="D234" s="9">
        <v>0</v>
      </c>
      <c r="E234" s="9">
        <v>0</v>
      </c>
      <c r="F234" s="9">
        <v>0</v>
      </c>
      <c r="G234" s="6">
        <f t="shared" si="3"/>
        <v>0</v>
      </c>
      <c r="H234" s="92"/>
      <c r="I234" s="94"/>
    </row>
    <row r="235" spans="1:9">
      <c r="A235" s="7">
        <v>46256</v>
      </c>
      <c r="B235" s="5" t="s">
        <v>14</v>
      </c>
      <c r="C235" s="9">
        <v>0</v>
      </c>
      <c r="D235" s="9">
        <v>0</v>
      </c>
      <c r="E235" s="9">
        <v>0</v>
      </c>
      <c r="F235" s="9">
        <v>0</v>
      </c>
      <c r="G235" s="6">
        <f t="shared" si="3"/>
        <v>0</v>
      </c>
      <c r="H235" s="92"/>
      <c r="I235" s="94"/>
    </row>
    <row r="236" spans="1:9">
      <c r="A236" s="7">
        <v>46257</v>
      </c>
      <c r="B236" s="5" t="s">
        <v>14</v>
      </c>
      <c r="C236" s="9">
        <v>0</v>
      </c>
      <c r="D236" s="9">
        <v>0</v>
      </c>
      <c r="E236" s="9">
        <v>0</v>
      </c>
      <c r="F236" s="9">
        <v>0</v>
      </c>
      <c r="G236" s="6">
        <f t="shared" si="3"/>
        <v>0</v>
      </c>
      <c r="H236" s="93"/>
      <c r="I236" s="94"/>
    </row>
    <row r="237" spans="1:9">
      <c r="A237" s="7">
        <v>46258</v>
      </c>
      <c r="B237" s="5" t="s">
        <v>14</v>
      </c>
      <c r="C237" s="9">
        <v>0</v>
      </c>
      <c r="D237" s="9">
        <v>0</v>
      </c>
      <c r="E237" s="9">
        <v>0</v>
      </c>
      <c r="F237" s="9">
        <v>0</v>
      </c>
      <c r="G237" s="6">
        <f t="shared" si="3"/>
        <v>0</v>
      </c>
      <c r="H237" s="91">
        <f>SUM(G237:G243)</f>
        <v>0</v>
      </c>
      <c r="I237" s="94"/>
    </row>
    <row r="238" spans="1:9">
      <c r="A238" s="7">
        <v>46259</v>
      </c>
      <c r="B238" s="5" t="s">
        <v>14</v>
      </c>
      <c r="C238" s="9">
        <v>0</v>
      </c>
      <c r="D238" s="9">
        <v>0</v>
      </c>
      <c r="E238" s="9">
        <v>0</v>
      </c>
      <c r="F238" s="9">
        <v>0</v>
      </c>
      <c r="G238" s="6">
        <f t="shared" si="3"/>
        <v>0</v>
      </c>
      <c r="H238" s="92"/>
      <c r="I238" s="94"/>
    </row>
    <row r="239" spans="1:9">
      <c r="A239" s="7">
        <v>46260</v>
      </c>
      <c r="B239" s="5" t="s">
        <v>14</v>
      </c>
      <c r="C239" s="9">
        <v>0</v>
      </c>
      <c r="D239" s="9">
        <v>0</v>
      </c>
      <c r="E239" s="9">
        <v>0</v>
      </c>
      <c r="F239" s="9">
        <v>0</v>
      </c>
      <c r="G239" s="6">
        <f t="shared" si="3"/>
        <v>0</v>
      </c>
      <c r="H239" s="92"/>
      <c r="I239" s="94"/>
    </row>
    <row r="240" spans="1:9">
      <c r="A240" s="7">
        <v>46261</v>
      </c>
      <c r="B240" s="5" t="s">
        <v>14</v>
      </c>
      <c r="C240" s="9">
        <v>0</v>
      </c>
      <c r="D240" s="9">
        <v>0</v>
      </c>
      <c r="E240" s="9">
        <v>0</v>
      </c>
      <c r="F240" s="9">
        <v>0</v>
      </c>
      <c r="G240" s="6">
        <f t="shared" si="3"/>
        <v>0</v>
      </c>
      <c r="H240" s="92"/>
      <c r="I240" s="94"/>
    </row>
    <row r="241" spans="1:9">
      <c r="A241" s="7">
        <v>46262</v>
      </c>
      <c r="B241" s="5" t="s">
        <v>14</v>
      </c>
      <c r="C241" s="9">
        <v>0</v>
      </c>
      <c r="D241" s="9">
        <v>0</v>
      </c>
      <c r="E241" s="9">
        <v>0</v>
      </c>
      <c r="F241" s="9">
        <v>0</v>
      </c>
      <c r="G241" s="6">
        <f t="shared" si="3"/>
        <v>0</v>
      </c>
      <c r="H241" s="92"/>
      <c r="I241" s="94"/>
    </row>
    <row r="242" spans="1:9">
      <c r="A242" s="7">
        <v>46263</v>
      </c>
      <c r="B242" s="5" t="s">
        <v>14</v>
      </c>
      <c r="C242" s="9">
        <v>0</v>
      </c>
      <c r="D242" s="9">
        <v>0</v>
      </c>
      <c r="E242" s="9">
        <v>0</v>
      </c>
      <c r="F242" s="9">
        <v>0</v>
      </c>
      <c r="G242" s="6">
        <f t="shared" si="3"/>
        <v>0</v>
      </c>
      <c r="H242" s="92"/>
      <c r="I242" s="94"/>
    </row>
    <row r="243" spans="1:9">
      <c r="A243" s="7">
        <v>46264</v>
      </c>
      <c r="B243" s="5" t="s">
        <v>14</v>
      </c>
      <c r="C243" s="9">
        <v>0</v>
      </c>
      <c r="D243" s="9">
        <v>0</v>
      </c>
      <c r="E243" s="9">
        <v>0</v>
      </c>
      <c r="F243" s="9">
        <v>0</v>
      </c>
      <c r="G243" s="6">
        <f t="shared" si="3"/>
        <v>0</v>
      </c>
      <c r="H243" s="93"/>
      <c r="I243" s="94"/>
    </row>
    <row r="244" spans="1:9">
      <c r="A244" s="7">
        <v>46265</v>
      </c>
      <c r="B244" s="5" t="s">
        <v>14</v>
      </c>
      <c r="C244" s="9">
        <v>0</v>
      </c>
      <c r="D244" s="9">
        <v>0</v>
      </c>
      <c r="E244" s="9">
        <v>0</v>
      </c>
      <c r="F244" s="9">
        <v>0</v>
      </c>
      <c r="G244" s="6">
        <f t="shared" si="3"/>
        <v>0</v>
      </c>
      <c r="H244" s="91">
        <f>SUM(G244:G250)</f>
        <v>0</v>
      </c>
      <c r="I244" s="94"/>
    </row>
    <row r="245" spans="1:9">
      <c r="A245" s="7">
        <v>46266</v>
      </c>
      <c r="B245" s="5" t="s">
        <v>14</v>
      </c>
      <c r="C245" s="9">
        <v>0</v>
      </c>
      <c r="D245" s="9">
        <v>0</v>
      </c>
      <c r="E245" s="9">
        <v>0</v>
      </c>
      <c r="F245" s="9">
        <v>0</v>
      </c>
      <c r="G245" s="6">
        <f t="shared" si="3"/>
        <v>0</v>
      </c>
      <c r="H245" s="92"/>
      <c r="I245" s="94"/>
    </row>
    <row r="246" spans="1:9">
      <c r="A246" s="7">
        <v>46267</v>
      </c>
      <c r="B246" s="5" t="s">
        <v>14</v>
      </c>
      <c r="C246" s="9">
        <v>0</v>
      </c>
      <c r="D246" s="9">
        <v>0</v>
      </c>
      <c r="E246" s="9">
        <v>0</v>
      </c>
      <c r="F246" s="9">
        <v>0</v>
      </c>
      <c r="G246" s="6">
        <f t="shared" si="3"/>
        <v>0</v>
      </c>
      <c r="H246" s="92"/>
      <c r="I246" s="94"/>
    </row>
    <row r="247" spans="1:9">
      <c r="A247" s="7">
        <v>46268</v>
      </c>
      <c r="B247" s="5" t="s">
        <v>14</v>
      </c>
      <c r="C247" s="9">
        <v>0</v>
      </c>
      <c r="D247" s="9">
        <v>0</v>
      </c>
      <c r="E247" s="9">
        <v>0</v>
      </c>
      <c r="F247" s="9">
        <v>0</v>
      </c>
      <c r="G247" s="6">
        <f t="shared" si="3"/>
        <v>0</v>
      </c>
      <c r="H247" s="92"/>
      <c r="I247" s="94"/>
    </row>
    <row r="248" spans="1:9">
      <c r="A248" s="7">
        <v>46269</v>
      </c>
      <c r="B248" s="5" t="s">
        <v>14</v>
      </c>
      <c r="C248" s="9">
        <v>0</v>
      </c>
      <c r="D248" s="9">
        <v>0</v>
      </c>
      <c r="E248" s="9">
        <v>0</v>
      </c>
      <c r="F248" s="9">
        <v>0</v>
      </c>
      <c r="G248" s="6">
        <f t="shared" si="3"/>
        <v>0</v>
      </c>
      <c r="H248" s="92"/>
      <c r="I248" s="94"/>
    </row>
    <row r="249" spans="1:9">
      <c r="A249" s="7">
        <v>46270</v>
      </c>
      <c r="B249" s="5" t="s">
        <v>14</v>
      </c>
      <c r="C249" s="9">
        <v>0</v>
      </c>
      <c r="D249" s="9">
        <v>0</v>
      </c>
      <c r="E249" s="9">
        <v>0</v>
      </c>
      <c r="F249" s="9">
        <v>0</v>
      </c>
      <c r="G249" s="6">
        <f t="shared" si="3"/>
        <v>0</v>
      </c>
      <c r="H249" s="92"/>
      <c r="I249" s="94"/>
    </row>
    <row r="250" spans="1:9">
      <c r="A250" s="7">
        <v>46271</v>
      </c>
      <c r="B250" s="5" t="s">
        <v>14</v>
      </c>
      <c r="C250" s="9">
        <v>0</v>
      </c>
      <c r="D250" s="9">
        <v>0</v>
      </c>
      <c r="E250" s="9">
        <v>0</v>
      </c>
      <c r="F250" s="9">
        <v>0</v>
      </c>
      <c r="G250" s="6">
        <f t="shared" si="3"/>
        <v>0</v>
      </c>
      <c r="H250" s="93"/>
      <c r="I250" s="94"/>
    </row>
    <row r="251" spans="1:9">
      <c r="A251" s="7">
        <v>46272</v>
      </c>
      <c r="B251" s="5" t="s">
        <v>14</v>
      </c>
      <c r="C251" s="9">
        <v>0</v>
      </c>
      <c r="D251" s="9">
        <v>0</v>
      </c>
      <c r="E251" s="9">
        <v>0</v>
      </c>
      <c r="F251" s="9">
        <v>0</v>
      </c>
      <c r="G251" s="6">
        <f t="shared" si="3"/>
        <v>0</v>
      </c>
      <c r="H251" s="91">
        <f>SUM(G251:G257)</f>
        <v>0</v>
      </c>
      <c r="I251" s="94"/>
    </row>
    <row r="252" spans="1:9">
      <c r="A252" s="7">
        <v>46273</v>
      </c>
      <c r="B252" s="5" t="s">
        <v>14</v>
      </c>
      <c r="C252" s="9">
        <v>0</v>
      </c>
      <c r="D252" s="9">
        <v>0</v>
      </c>
      <c r="E252" s="9">
        <v>0</v>
      </c>
      <c r="F252" s="9">
        <v>0</v>
      </c>
      <c r="G252" s="6">
        <f t="shared" si="3"/>
        <v>0</v>
      </c>
      <c r="H252" s="92"/>
      <c r="I252" s="94"/>
    </row>
    <row r="253" spans="1:9">
      <c r="A253" s="7">
        <v>46274</v>
      </c>
      <c r="B253" s="5" t="s">
        <v>14</v>
      </c>
      <c r="C253" s="9">
        <v>0</v>
      </c>
      <c r="D253" s="9">
        <v>0</v>
      </c>
      <c r="E253" s="9">
        <v>0</v>
      </c>
      <c r="F253" s="9">
        <v>0</v>
      </c>
      <c r="G253" s="6">
        <f t="shared" si="3"/>
        <v>0</v>
      </c>
      <c r="H253" s="92"/>
      <c r="I253" s="94"/>
    </row>
    <row r="254" spans="1:9">
      <c r="A254" s="7">
        <v>46275</v>
      </c>
      <c r="B254" s="5" t="s">
        <v>14</v>
      </c>
      <c r="C254" s="9">
        <v>0</v>
      </c>
      <c r="D254" s="9">
        <v>0</v>
      </c>
      <c r="E254" s="9">
        <v>0</v>
      </c>
      <c r="F254" s="9">
        <v>0</v>
      </c>
      <c r="G254" s="6">
        <f t="shared" si="3"/>
        <v>0</v>
      </c>
      <c r="H254" s="92"/>
      <c r="I254" s="94"/>
    </row>
    <row r="255" spans="1:9">
      <c r="A255" s="7">
        <v>46276</v>
      </c>
      <c r="B255" s="5" t="s">
        <v>14</v>
      </c>
      <c r="C255" s="9">
        <v>0</v>
      </c>
      <c r="D255" s="9">
        <v>0</v>
      </c>
      <c r="E255" s="9">
        <v>0</v>
      </c>
      <c r="F255" s="9">
        <v>0</v>
      </c>
      <c r="G255" s="6">
        <f t="shared" si="3"/>
        <v>0</v>
      </c>
      <c r="H255" s="92"/>
      <c r="I255" s="94"/>
    </row>
    <row r="256" spans="1:9">
      <c r="A256" s="7">
        <v>46277</v>
      </c>
      <c r="B256" s="5" t="s">
        <v>14</v>
      </c>
      <c r="C256" s="9">
        <v>0</v>
      </c>
      <c r="D256" s="9">
        <v>0</v>
      </c>
      <c r="E256" s="9">
        <v>0</v>
      </c>
      <c r="F256" s="9">
        <v>0</v>
      </c>
      <c r="G256" s="6">
        <f t="shared" si="3"/>
        <v>0</v>
      </c>
      <c r="H256" s="92"/>
      <c r="I256" s="94"/>
    </row>
    <row r="257" spans="1:9">
      <c r="A257" s="7">
        <v>46278</v>
      </c>
      <c r="B257" s="5" t="s">
        <v>14</v>
      </c>
      <c r="C257" s="9">
        <v>0</v>
      </c>
      <c r="D257" s="9">
        <v>0</v>
      </c>
      <c r="E257" s="9">
        <v>0</v>
      </c>
      <c r="F257" s="9">
        <v>0</v>
      </c>
      <c r="G257" s="6">
        <f t="shared" si="3"/>
        <v>0</v>
      </c>
      <c r="H257" s="93"/>
      <c r="I257" s="94"/>
    </row>
    <row r="258" spans="1:9">
      <c r="A258" s="7">
        <v>46279</v>
      </c>
      <c r="B258" s="5" t="s">
        <v>14</v>
      </c>
      <c r="C258" s="9">
        <v>0</v>
      </c>
      <c r="D258" s="9">
        <v>0</v>
      </c>
      <c r="E258" s="9">
        <v>0</v>
      </c>
      <c r="F258" s="9">
        <v>0</v>
      </c>
      <c r="G258" s="6">
        <f t="shared" si="3"/>
        <v>0</v>
      </c>
      <c r="H258" s="91">
        <f>SUM(G258:G264)</f>
        <v>0</v>
      </c>
      <c r="I258" s="94"/>
    </row>
    <row r="259" spans="1:9">
      <c r="A259" s="7">
        <v>46280</v>
      </c>
      <c r="B259" s="5" t="s">
        <v>14</v>
      </c>
      <c r="C259" s="9">
        <v>0</v>
      </c>
      <c r="D259" s="9">
        <v>0</v>
      </c>
      <c r="E259" s="9">
        <v>0</v>
      </c>
      <c r="F259" s="9">
        <v>0</v>
      </c>
      <c r="G259" s="6">
        <f t="shared" ref="G259:G322" si="4">SUM(F259,E259,C259-D259)</f>
        <v>0</v>
      </c>
      <c r="H259" s="92"/>
      <c r="I259" s="94"/>
    </row>
    <row r="260" spans="1:9">
      <c r="A260" s="7">
        <v>46281</v>
      </c>
      <c r="B260" s="5" t="s">
        <v>14</v>
      </c>
      <c r="C260" s="9">
        <v>0</v>
      </c>
      <c r="D260" s="9">
        <v>0</v>
      </c>
      <c r="E260" s="9">
        <v>0</v>
      </c>
      <c r="F260" s="9">
        <v>0</v>
      </c>
      <c r="G260" s="6">
        <f t="shared" si="4"/>
        <v>0</v>
      </c>
      <c r="H260" s="92"/>
      <c r="I260" s="94"/>
    </row>
    <row r="261" spans="1:9">
      <c r="A261" s="7">
        <v>46282</v>
      </c>
      <c r="B261" s="5" t="s">
        <v>14</v>
      </c>
      <c r="C261" s="9">
        <v>0</v>
      </c>
      <c r="D261" s="9">
        <v>0</v>
      </c>
      <c r="E261" s="9">
        <v>0</v>
      </c>
      <c r="F261" s="9">
        <v>0</v>
      </c>
      <c r="G261" s="6">
        <f t="shared" si="4"/>
        <v>0</v>
      </c>
      <c r="H261" s="92"/>
      <c r="I261" s="94"/>
    </row>
    <row r="262" spans="1:9">
      <c r="A262" s="7">
        <v>46283</v>
      </c>
      <c r="B262" s="5" t="s">
        <v>14</v>
      </c>
      <c r="C262" s="9">
        <v>0</v>
      </c>
      <c r="D262" s="9">
        <v>0</v>
      </c>
      <c r="E262" s="9">
        <v>0</v>
      </c>
      <c r="F262" s="9">
        <v>0</v>
      </c>
      <c r="G262" s="6">
        <f t="shared" si="4"/>
        <v>0</v>
      </c>
      <c r="H262" s="92"/>
      <c r="I262" s="94"/>
    </row>
    <row r="263" spans="1:9">
      <c r="A263" s="7">
        <v>46284</v>
      </c>
      <c r="B263" s="5" t="s">
        <v>14</v>
      </c>
      <c r="C263" s="9">
        <v>0</v>
      </c>
      <c r="D263" s="9">
        <v>0</v>
      </c>
      <c r="E263" s="9">
        <v>0</v>
      </c>
      <c r="F263" s="9">
        <v>0</v>
      </c>
      <c r="G263" s="6">
        <f t="shared" si="4"/>
        <v>0</v>
      </c>
      <c r="H263" s="92"/>
      <c r="I263" s="94"/>
    </row>
    <row r="264" spans="1:9">
      <c r="A264" s="7">
        <v>46285</v>
      </c>
      <c r="B264" s="5" t="s">
        <v>14</v>
      </c>
      <c r="C264" s="9">
        <v>0</v>
      </c>
      <c r="D264" s="9">
        <v>0</v>
      </c>
      <c r="E264" s="9">
        <v>0</v>
      </c>
      <c r="F264" s="9">
        <v>0</v>
      </c>
      <c r="G264" s="6">
        <f t="shared" si="4"/>
        <v>0</v>
      </c>
      <c r="H264" s="93"/>
      <c r="I264" s="94"/>
    </row>
    <row r="265" spans="1:9">
      <c r="A265" s="7">
        <v>46286</v>
      </c>
      <c r="B265" s="5" t="s">
        <v>14</v>
      </c>
      <c r="C265" s="9">
        <v>0</v>
      </c>
      <c r="D265" s="9">
        <v>0</v>
      </c>
      <c r="E265" s="9">
        <v>0</v>
      </c>
      <c r="F265" s="9">
        <v>0</v>
      </c>
      <c r="G265" s="6">
        <f t="shared" si="4"/>
        <v>0</v>
      </c>
      <c r="H265" s="91">
        <f>SUM(G265:G271)</f>
        <v>0</v>
      </c>
      <c r="I265" s="94"/>
    </row>
    <row r="266" spans="1:9">
      <c r="A266" s="7">
        <v>46287</v>
      </c>
      <c r="B266" s="5" t="s">
        <v>14</v>
      </c>
      <c r="C266" s="9">
        <v>0</v>
      </c>
      <c r="D266" s="9">
        <v>0</v>
      </c>
      <c r="E266" s="9">
        <v>0</v>
      </c>
      <c r="F266" s="9">
        <v>0</v>
      </c>
      <c r="G266" s="6">
        <f t="shared" si="4"/>
        <v>0</v>
      </c>
      <c r="H266" s="92"/>
      <c r="I266" s="94"/>
    </row>
    <row r="267" spans="1:9">
      <c r="A267" s="7">
        <v>46288</v>
      </c>
      <c r="B267" s="5" t="s">
        <v>14</v>
      </c>
      <c r="C267" s="9">
        <v>0</v>
      </c>
      <c r="D267" s="9">
        <v>0</v>
      </c>
      <c r="E267" s="9">
        <v>0</v>
      </c>
      <c r="F267" s="9">
        <v>0</v>
      </c>
      <c r="G267" s="6">
        <f t="shared" si="4"/>
        <v>0</v>
      </c>
      <c r="H267" s="92"/>
      <c r="I267" s="94"/>
    </row>
    <row r="268" spans="1:9">
      <c r="A268" s="7">
        <v>46289</v>
      </c>
      <c r="B268" s="5" t="s">
        <v>14</v>
      </c>
      <c r="C268" s="9">
        <v>0</v>
      </c>
      <c r="D268" s="9">
        <v>0</v>
      </c>
      <c r="E268" s="9">
        <v>0</v>
      </c>
      <c r="F268" s="9">
        <v>0</v>
      </c>
      <c r="G268" s="6">
        <f t="shared" si="4"/>
        <v>0</v>
      </c>
      <c r="H268" s="92"/>
      <c r="I268" s="94"/>
    </row>
    <row r="269" spans="1:9">
      <c r="A269" s="7">
        <v>46290</v>
      </c>
      <c r="B269" s="5" t="s">
        <v>14</v>
      </c>
      <c r="C269" s="9">
        <v>0</v>
      </c>
      <c r="D269" s="9">
        <v>0</v>
      </c>
      <c r="E269" s="9">
        <v>0</v>
      </c>
      <c r="F269" s="9">
        <v>0</v>
      </c>
      <c r="G269" s="6">
        <f t="shared" si="4"/>
        <v>0</v>
      </c>
      <c r="H269" s="92"/>
      <c r="I269" s="94"/>
    </row>
    <row r="270" spans="1:9">
      <c r="A270" s="7">
        <v>46291</v>
      </c>
      <c r="B270" s="5" t="s">
        <v>14</v>
      </c>
      <c r="C270" s="9">
        <v>0</v>
      </c>
      <c r="D270" s="9">
        <v>0</v>
      </c>
      <c r="E270" s="9">
        <v>0</v>
      </c>
      <c r="F270" s="9">
        <v>0</v>
      </c>
      <c r="G270" s="6">
        <f t="shared" si="4"/>
        <v>0</v>
      </c>
      <c r="H270" s="92"/>
      <c r="I270" s="94"/>
    </row>
    <row r="271" spans="1:9">
      <c r="A271" s="7">
        <v>46292</v>
      </c>
      <c r="B271" s="5" t="s">
        <v>14</v>
      </c>
      <c r="C271" s="9">
        <v>0</v>
      </c>
      <c r="D271" s="9">
        <v>0</v>
      </c>
      <c r="E271" s="9">
        <v>0</v>
      </c>
      <c r="F271" s="9">
        <v>0</v>
      </c>
      <c r="G271" s="6">
        <f t="shared" si="4"/>
        <v>0</v>
      </c>
      <c r="H271" s="93"/>
      <c r="I271" s="94"/>
    </row>
    <row r="272" spans="1:9">
      <c r="A272" s="7">
        <v>46293</v>
      </c>
      <c r="B272" s="5" t="s">
        <v>14</v>
      </c>
      <c r="C272" s="9">
        <v>0</v>
      </c>
      <c r="D272" s="9">
        <v>0</v>
      </c>
      <c r="E272" s="9">
        <v>0</v>
      </c>
      <c r="F272" s="9">
        <v>0</v>
      </c>
      <c r="G272" s="6">
        <f t="shared" si="4"/>
        <v>0</v>
      </c>
      <c r="H272" s="91">
        <f>SUM(G272:G278)</f>
        <v>0</v>
      </c>
      <c r="I272" s="94"/>
    </row>
    <row r="273" spans="1:9">
      <c r="A273" s="7">
        <v>46294</v>
      </c>
      <c r="B273" s="5" t="s">
        <v>14</v>
      </c>
      <c r="C273" s="9">
        <v>0</v>
      </c>
      <c r="D273" s="9">
        <v>0</v>
      </c>
      <c r="E273" s="9">
        <v>0</v>
      </c>
      <c r="F273" s="9">
        <v>0</v>
      </c>
      <c r="G273" s="6">
        <f t="shared" si="4"/>
        <v>0</v>
      </c>
      <c r="H273" s="92"/>
      <c r="I273" s="94"/>
    </row>
    <row r="274" spans="1:9">
      <c r="A274" s="7">
        <v>46295</v>
      </c>
      <c r="B274" s="5" t="s">
        <v>14</v>
      </c>
      <c r="C274" s="9">
        <v>0</v>
      </c>
      <c r="D274" s="9">
        <v>0</v>
      </c>
      <c r="E274" s="9">
        <v>0</v>
      </c>
      <c r="F274" s="9">
        <v>0</v>
      </c>
      <c r="G274" s="6">
        <f t="shared" si="4"/>
        <v>0</v>
      </c>
      <c r="H274" s="92"/>
      <c r="I274" s="94"/>
    </row>
    <row r="275" spans="1:9">
      <c r="A275" s="7">
        <v>46296</v>
      </c>
      <c r="B275" s="5" t="s">
        <v>14</v>
      </c>
      <c r="C275" s="9">
        <v>0</v>
      </c>
      <c r="D275" s="9">
        <v>0</v>
      </c>
      <c r="E275" s="9">
        <v>0</v>
      </c>
      <c r="F275" s="9">
        <v>0</v>
      </c>
      <c r="G275" s="6">
        <f t="shared" si="4"/>
        <v>0</v>
      </c>
      <c r="H275" s="92"/>
      <c r="I275" s="94"/>
    </row>
    <row r="276" spans="1:9">
      <c r="A276" s="7">
        <v>46297</v>
      </c>
      <c r="B276" s="5" t="s">
        <v>14</v>
      </c>
      <c r="C276" s="9">
        <v>0</v>
      </c>
      <c r="D276" s="9">
        <v>0</v>
      </c>
      <c r="E276" s="9">
        <v>0</v>
      </c>
      <c r="F276" s="9">
        <v>0</v>
      </c>
      <c r="G276" s="6">
        <f t="shared" si="4"/>
        <v>0</v>
      </c>
      <c r="H276" s="92"/>
      <c r="I276" s="94"/>
    </row>
    <row r="277" spans="1:9">
      <c r="A277" s="7">
        <v>46298</v>
      </c>
      <c r="B277" s="5" t="s">
        <v>14</v>
      </c>
      <c r="C277" s="9">
        <v>0</v>
      </c>
      <c r="D277" s="9">
        <v>0</v>
      </c>
      <c r="E277" s="9">
        <v>0</v>
      </c>
      <c r="F277" s="9">
        <v>0</v>
      </c>
      <c r="G277" s="6">
        <f t="shared" si="4"/>
        <v>0</v>
      </c>
      <c r="H277" s="92"/>
      <c r="I277" s="94"/>
    </row>
    <row r="278" spans="1:9">
      <c r="A278" s="7">
        <v>46299</v>
      </c>
      <c r="B278" s="5" t="s">
        <v>14</v>
      </c>
      <c r="C278" s="9">
        <v>0</v>
      </c>
      <c r="D278" s="9">
        <v>0</v>
      </c>
      <c r="E278" s="9">
        <v>0</v>
      </c>
      <c r="F278" s="9">
        <v>0</v>
      </c>
      <c r="G278" s="6">
        <f t="shared" si="4"/>
        <v>0</v>
      </c>
      <c r="H278" s="93"/>
      <c r="I278" s="94"/>
    </row>
    <row r="279" spans="1:9">
      <c r="A279" s="7">
        <v>46300</v>
      </c>
      <c r="B279" s="5" t="s">
        <v>14</v>
      </c>
      <c r="C279" s="9">
        <v>0</v>
      </c>
      <c r="D279" s="9">
        <v>0</v>
      </c>
      <c r="E279" s="9">
        <v>0</v>
      </c>
      <c r="F279" s="9">
        <v>0</v>
      </c>
      <c r="G279" s="6">
        <f t="shared" si="4"/>
        <v>0</v>
      </c>
      <c r="H279" s="91">
        <f>SUM(G279:G285)</f>
        <v>0</v>
      </c>
      <c r="I279" s="94"/>
    </row>
    <row r="280" spans="1:9">
      <c r="A280" s="7">
        <v>46301</v>
      </c>
      <c r="B280" s="5" t="s">
        <v>14</v>
      </c>
      <c r="C280" s="9">
        <v>0</v>
      </c>
      <c r="D280" s="9">
        <v>0</v>
      </c>
      <c r="E280" s="9">
        <v>0</v>
      </c>
      <c r="F280" s="9">
        <v>0</v>
      </c>
      <c r="G280" s="6">
        <f t="shared" si="4"/>
        <v>0</v>
      </c>
      <c r="H280" s="92"/>
      <c r="I280" s="94"/>
    </row>
    <row r="281" spans="1:9">
      <c r="A281" s="7">
        <v>46302</v>
      </c>
      <c r="B281" s="5" t="s">
        <v>14</v>
      </c>
      <c r="C281" s="9">
        <v>0</v>
      </c>
      <c r="D281" s="9">
        <v>0</v>
      </c>
      <c r="E281" s="9">
        <v>0</v>
      </c>
      <c r="F281" s="9">
        <v>0</v>
      </c>
      <c r="G281" s="6">
        <f t="shared" si="4"/>
        <v>0</v>
      </c>
      <c r="H281" s="92"/>
      <c r="I281" s="94"/>
    </row>
    <row r="282" spans="1:9">
      <c r="A282" s="7">
        <v>46303</v>
      </c>
      <c r="B282" s="5" t="s">
        <v>14</v>
      </c>
      <c r="C282" s="9">
        <v>0</v>
      </c>
      <c r="D282" s="9">
        <v>0</v>
      </c>
      <c r="E282" s="9">
        <v>0</v>
      </c>
      <c r="F282" s="9">
        <v>0</v>
      </c>
      <c r="G282" s="6">
        <f t="shared" si="4"/>
        <v>0</v>
      </c>
      <c r="H282" s="92"/>
      <c r="I282" s="94"/>
    </row>
    <row r="283" spans="1:9">
      <c r="A283" s="7">
        <v>46304</v>
      </c>
      <c r="B283" s="5" t="s">
        <v>14</v>
      </c>
      <c r="C283" s="9">
        <v>0</v>
      </c>
      <c r="D283" s="9">
        <v>0</v>
      </c>
      <c r="E283" s="9">
        <v>0</v>
      </c>
      <c r="F283" s="9">
        <v>0</v>
      </c>
      <c r="G283" s="6">
        <f t="shared" si="4"/>
        <v>0</v>
      </c>
      <c r="H283" s="92"/>
      <c r="I283" s="94"/>
    </row>
    <row r="284" spans="1:9">
      <c r="A284" s="7">
        <v>46305</v>
      </c>
      <c r="B284" s="5" t="s">
        <v>14</v>
      </c>
      <c r="C284" s="9">
        <v>0</v>
      </c>
      <c r="D284" s="9">
        <v>0</v>
      </c>
      <c r="E284" s="9">
        <v>0</v>
      </c>
      <c r="F284" s="9">
        <v>0</v>
      </c>
      <c r="G284" s="6">
        <f t="shared" si="4"/>
        <v>0</v>
      </c>
      <c r="H284" s="92"/>
      <c r="I284" s="94"/>
    </row>
    <row r="285" spans="1:9">
      <c r="A285" s="7">
        <v>46306</v>
      </c>
      <c r="B285" s="5" t="s">
        <v>14</v>
      </c>
      <c r="C285" s="9">
        <v>0</v>
      </c>
      <c r="D285" s="9">
        <v>0</v>
      </c>
      <c r="E285" s="9">
        <v>0</v>
      </c>
      <c r="F285" s="9">
        <v>0</v>
      </c>
      <c r="G285" s="6">
        <f t="shared" si="4"/>
        <v>0</v>
      </c>
      <c r="H285" s="93"/>
      <c r="I285" s="94"/>
    </row>
    <row r="286" spans="1:9">
      <c r="A286" s="7">
        <v>46307</v>
      </c>
      <c r="B286" s="5" t="s">
        <v>14</v>
      </c>
      <c r="C286" s="9">
        <v>0</v>
      </c>
      <c r="D286" s="9">
        <v>0</v>
      </c>
      <c r="E286" s="9">
        <v>0</v>
      </c>
      <c r="F286" s="9">
        <v>0</v>
      </c>
      <c r="G286" s="6">
        <f t="shared" si="4"/>
        <v>0</v>
      </c>
      <c r="H286" s="91">
        <f>SUM(G286:G292)</f>
        <v>0</v>
      </c>
      <c r="I286" s="94"/>
    </row>
    <row r="287" spans="1:9">
      <c r="A287" s="7">
        <v>46308</v>
      </c>
      <c r="B287" s="5" t="s">
        <v>14</v>
      </c>
      <c r="C287" s="9">
        <v>0</v>
      </c>
      <c r="D287" s="9">
        <v>0</v>
      </c>
      <c r="E287" s="9">
        <v>0</v>
      </c>
      <c r="F287" s="9">
        <v>0</v>
      </c>
      <c r="G287" s="6">
        <f t="shared" si="4"/>
        <v>0</v>
      </c>
      <c r="H287" s="92"/>
      <c r="I287" s="94"/>
    </row>
    <row r="288" spans="1:9">
      <c r="A288" s="7">
        <v>46309</v>
      </c>
      <c r="B288" s="5" t="s">
        <v>14</v>
      </c>
      <c r="C288" s="9">
        <v>0</v>
      </c>
      <c r="D288" s="9">
        <v>0</v>
      </c>
      <c r="E288" s="9">
        <v>0</v>
      </c>
      <c r="F288" s="9">
        <v>0</v>
      </c>
      <c r="G288" s="6">
        <f t="shared" si="4"/>
        <v>0</v>
      </c>
      <c r="H288" s="92"/>
      <c r="I288" s="94"/>
    </row>
    <row r="289" spans="1:9">
      <c r="A289" s="7">
        <v>46310</v>
      </c>
      <c r="B289" s="5" t="s">
        <v>14</v>
      </c>
      <c r="C289" s="9">
        <v>0</v>
      </c>
      <c r="D289" s="9">
        <v>0</v>
      </c>
      <c r="E289" s="9">
        <v>0</v>
      </c>
      <c r="F289" s="9">
        <v>0</v>
      </c>
      <c r="G289" s="6">
        <f t="shared" si="4"/>
        <v>0</v>
      </c>
      <c r="H289" s="92"/>
      <c r="I289" s="94"/>
    </row>
    <row r="290" spans="1:9">
      <c r="A290" s="7">
        <v>46311</v>
      </c>
      <c r="B290" s="5" t="s">
        <v>14</v>
      </c>
      <c r="C290" s="9">
        <v>0</v>
      </c>
      <c r="D290" s="9">
        <v>0</v>
      </c>
      <c r="E290" s="9">
        <v>0</v>
      </c>
      <c r="F290" s="9">
        <v>0</v>
      </c>
      <c r="G290" s="6">
        <f t="shared" si="4"/>
        <v>0</v>
      </c>
      <c r="H290" s="92"/>
      <c r="I290" s="94"/>
    </row>
    <row r="291" spans="1:9">
      <c r="A291" s="7">
        <v>46312</v>
      </c>
      <c r="B291" s="5" t="s">
        <v>14</v>
      </c>
      <c r="C291" s="9">
        <v>0</v>
      </c>
      <c r="D291" s="9">
        <v>0</v>
      </c>
      <c r="E291" s="9">
        <v>0</v>
      </c>
      <c r="F291" s="9">
        <v>0</v>
      </c>
      <c r="G291" s="6">
        <f t="shared" si="4"/>
        <v>0</v>
      </c>
      <c r="H291" s="92"/>
      <c r="I291" s="94"/>
    </row>
    <row r="292" spans="1:9">
      <c r="A292" s="7">
        <v>46313</v>
      </c>
      <c r="B292" s="5" t="s">
        <v>14</v>
      </c>
      <c r="C292" s="9">
        <v>0</v>
      </c>
      <c r="D292" s="9">
        <v>0</v>
      </c>
      <c r="E292" s="9">
        <v>0</v>
      </c>
      <c r="F292" s="9">
        <v>0</v>
      </c>
      <c r="G292" s="6">
        <f t="shared" si="4"/>
        <v>0</v>
      </c>
      <c r="H292" s="93"/>
      <c r="I292" s="94"/>
    </row>
    <row r="293" spans="1:9">
      <c r="A293" s="7">
        <v>46314</v>
      </c>
      <c r="B293" s="5" t="s">
        <v>14</v>
      </c>
      <c r="C293" s="9">
        <v>0</v>
      </c>
      <c r="D293" s="9">
        <v>0</v>
      </c>
      <c r="E293" s="9">
        <v>0</v>
      </c>
      <c r="F293" s="9">
        <v>0</v>
      </c>
      <c r="G293" s="6">
        <f t="shared" si="4"/>
        <v>0</v>
      </c>
      <c r="H293" s="91">
        <f>SUM(G293:G299)</f>
        <v>0</v>
      </c>
      <c r="I293" s="94"/>
    </row>
    <row r="294" spans="1:9">
      <c r="A294" s="7">
        <v>46315</v>
      </c>
      <c r="B294" s="5" t="s">
        <v>14</v>
      </c>
      <c r="C294" s="9">
        <v>0</v>
      </c>
      <c r="D294" s="9">
        <v>0</v>
      </c>
      <c r="E294" s="9">
        <v>0</v>
      </c>
      <c r="F294" s="9">
        <v>0</v>
      </c>
      <c r="G294" s="6">
        <f t="shared" si="4"/>
        <v>0</v>
      </c>
      <c r="H294" s="92"/>
      <c r="I294" s="94"/>
    </row>
    <row r="295" spans="1:9">
      <c r="A295" s="7">
        <v>46316</v>
      </c>
      <c r="B295" s="5" t="s">
        <v>14</v>
      </c>
      <c r="C295" s="9">
        <v>0</v>
      </c>
      <c r="D295" s="9">
        <v>0</v>
      </c>
      <c r="E295" s="9">
        <v>0</v>
      </c>
      <c r="F295" s="9">
        <v>0</v>
      </c>
      <c r="G295" s="6">
        <f t="shared" si="4"/>
        <v>0</v>
      </c>
      <c r="H295" s="92"/>
      <c r="I295" s="94"/>
    </row>
    <row r="296" spans="1:9">
      <c r="A296" s="7">
        <v>46317</v>
      </c>
      <c r="B296" s="5" t="s">
        <v>14</v>
      </c>
      <c r="C296" s="9">
        <v>0</v>
      </c>
      <c r="D296" s="9">
        <v>0</v>
      </c>
      <c r="E296" s="9">
        <v>0</v>
      </c>
      <c r="F296" s="9">
        <v>0</v>
      </c>
      <c r="G296" s="6">
        <f t="shared" si="4"/>
        <v>0</v>
      </c>
      <c r="H296" s="92"/>
      <c r="I296" s="94"/>
    </row>
    <row r="297" spans="1:9">
      <c r="A297" s="7">
        <v>46318</v>
      </c>
      <c r="B297" s="5" t="s">
        <v>14</v>
      </c>
      <c r="C297" s="9">
        <v>0</v>
      </c>
      <c r="D297" s="9">
        <v>0</v>
      </c>
      <c r="E297" s="9">
        <v>0</v>
      </c>
      <c r="F297" s="9">
        <v>0</v>
      </c>
      <c r="G297" s="6">
        <f t="shared" si="4"/>
        <v>0</v>
      </c>
      <c r="H297" s="92"/>
      <c r="I297" s="94"/>
    </row>
    <row r="298" spans="1:9">
      <c r="A298" s="7">
        <v>46319</v>
      </c>
      <c r="B298" s="5" t="s">
        <v>14</v>
      </c>
      <c r="C298" s="9">
        <v>0</v>
      </c>
      <c r="D298" s="9">
        <v>0</v>
      </c>
      <c r="E298" s="9">
        <v>0</v>
      </c>
      <c r="F298" s="9">
        <v>0</v>
      </c>
      <c r="G298" s="6">
        <f t="shared" si="4"/>
        <v>0</v>
      </c>
      <c r="H298" s="92"/>
      <c r="I298" s="94"/>
    </row>
    <row r="299" spans="1:9">
      <c r="A299" s="7">
        <v>46320</v>
      </c>
      <c r="B299" s="5" t="s">
        <v>14</v>
      </c>
      <c r="C299" s="9">
        <v>0</v>
      </c>
      <c r="D299" s="9">
        <v>0</v>
      </c>
      <c r="E299" s="9">
        <v>0</v>
      </c>
      <c r="F299" s="9">
        <v>0</v>
      </c>
      <c r="G299" s="6">
        <f t="shared" si="4"/>
        <v>0</v>
      </c>
      <c r="H299" s="93"/>
      <c r="I299" s="94"/>
    </row>
    <row r="300" spans="1:9">
      <c r="A300" s="7">
        <v>46321</v>
      </c>
      <c r="B300" s="5" t="s">
        <v>14</v>
      </c>
      <c r="C300" s="9">
        <v>0</v>
      </c>
      <c r="D300" s="9">
        <v>0</v>
      </c>
      <c r="E300" s="9">
        <v>0</v>
      </c>
      <c r="F300" s="9">
        <v>0</v>
      </c>
      <c r="G300" s="6">
        <f t="shared" si="4"/>
        <v>0</v>
      </c>
      <c r="H300" s="91">
        <f>SUM(G300:G306)</f>
        <v>0</v>
      </c>
      <c r="I300" s="94"/>
    </row>
    <row r="301" spans="1:9">
      <c r="A301" s="7">
        <v>46322</v>
      </c>
      <c r="B301" s="5" t="s">
        <v>14</v>
      </c>
      <c r="C301" s="9">
        <v>0</v>
      </c>
      <c r="D301" s="9">
        <v>0</v>
      </c>
      <c r="E301" s="9">
        <v>0</v>
      </c>
      <c r="F301" s="9">
        <v>0</v>
      </c>
      <c r="G301" s="6">
        <f t="shared" si="4"/>
        <v>0</v>
      </c>
      <c r="H301" s="92"/>
      <c r="I301" s="94"/>
    </row>
    <row r="302" spans="1:9">
      <c r="A302" s="7">
        <v>46323</v>
      </c>
      <c r="B302" s="5" t="s">
        <v>14</v>
      </c>
      <c r="C302" s="9">
        <v>0</v>
      </c>
      <c r="D302" s="9">
        <v>0</v>
      </c>
      <c r="E302" s="9">
        <v>0</v>
      </c>
      <c r="F302" s="9">
        <v>0</v>
      </c>
      <c r="G302" s="6">
        <f t="shared" si="4"/>
        <v>0</v>
      </c>
      <c r="H302" s="92"/>
      <c r="I302" s="94"/>
    </row>
    <row r="303" spans="1:9">
      <c r="A303" s="7">
        <v>46324</v>
      </c>
      <c r="B303" s="5" t="s">
        <v>14</v>
      </c>
      <c r="C303" s="9">
        <v>0</v>
      </c>
      <c r="D303" s="9">
        <v>0</v>
      </c>
      <c r="E303" s="9">
        <v>0</v>
      </c>
      <c r="F303" s="9">
        <v>0</v>
      </c>
      <c r="G303" s="6">
        <f t="shared" si="4"/>
        <v>0</v>
      </c>
      <c r="H303" s="92"/>
      <c r="I303" s="94"/>
    </row>
    <row r="304" spans="1:9">
      <c r="A304" s="7">
        <v>46325</v>
      </c>
      <c r="B304" s="5" t="s">
        <v>14</v>
      </c>
      <c r="C304" s="9">
        <v>0</v>
      </c>
      <c r="D304" s="9">
        <v>0</v>
      </c>
      <c r="E304" s="9">
        <v>0</v>
      </c>
      <c r="F304" s="9">
        <v>0</v>
      </c>
      <c r="G304" s="6">
        <f t="shared" si="4"/>
        <v>0</v>
      </c>
      <c r="H304" s="92"/>
      <c r="I304" s="94"/>
    </row>
    <row r="305" spans="1:9">
      <c r="A305" s="7">
        <v>46326</v>
      </c>
      <c r="B305" s="5" t="s">
        <v>14</v>
      </c>
      <c r="C305" s="9">
        <v>0</v>
      </c>
      <c r="D305" s="9">
        <v>0</v>
      </c>
      <c r="E305" s="9">
        <v>0</v>
      </c>
      <c r="F305" s="9">
        <v>0</v>
      </c>
      <c r="G305" s="6">
        <f t="shared" si="4"/>
        <v>0</v>
      </c>
      <c r="H305" s="92"/>
      <c r="I305" s="94"/>
    </row>
    <row r="306" spans="1:9">
      <c r="A306" s="7">
        <v>46327</v>
      </c>
      <c r="B306" s="5" t="s">
        <v>14</v>
      </c>
      <c r="C306" s="9">
        <v>0</v>
      </c>
      <c r="D306" s="9">
        <v>0</v>
      </c>
      <c r="E306" s="9">
        <v>0</v>
      </c>
      <c r="F306" s="9">
        <v>0</v>
      </c>
      <c r="G306" s="6">
        <f t="shared" si="4"/>
        <v>0</v>
      </c>
      <c r="H306" s="93"/>
      <c r="I306" s="94"/>
    </row>
    <row r="307" spans="1:9">
      <c r="A307" s="7">
        <v>46328</v>
      </c>
      <c r="B307" s="5" t="s">
        <v>14</v>
      </c>
      <c r="C307" s="9">
        <v>0</v>
      </c>
      <c r="D307" s="9">
        <v>0</v>
      </c>
      <c r="E307" s="9">
        <v>0</v>
      </c>
      <c r="F307" s="9">
        <v>0</v>
      </c>
      <c r="G307" s="6">
        <f t="shared" si="4"/>
        <v>0</v>
      </c>
      <c r="H307" s="91">
        <f>SUM(G307:G313)</f>
        <v>0</v>
      </c>
      <c r="I307" s="94"/>
    </row>
    <row r="308" spans="1:9">
      <c r="A308" s="7">
        <v>46329</v>
      </c>
      <c r="B308" s="5" t="s">
        <v>14</v>
      </c>
      <c r="C308" s="9">
        <v>0</v>
      </c>
      <c r="D308" s="9">
        <v>0</v>
      </c>
      <c r="E308" s="9">
        <v>0</v>
      </c>
      <c r="F308" s="9">
        <v>0</v>
      </c>
      <c r="G308" s="6">
        <f t="shared" si="4"/>
        <v>0</v>
      </c>
      <c r="H308" s="92"/>
      <c r="I308" s="94"/>
    </row>
    <row r="309" spans="1:9">
      <c r="A309" s="7">
        <v>46330</v>
      </c>
      <c r="B309" s="5" t="s">
        <v>14</v>
      </c>
      <c r="C309" s="9">
        <v>0</v>
      </c>
      <c r="D309" s="9">
        <v>0</v>
      </c>
      <c r="E309" s="9">
        <v>0</v>
      </c>
      <c r="F309" s="9">
        <v>0</v>
      </c>
      <c r="G309" s="6">
        <f t="shared" si="4"/>
        <v>0</v>
      </c>
      <c r="H309" s="92"/>
      <c r="I309" s="94"/>
    </row>
    <row r="310" spans="1:9">
      <c r="A310" s="7">
        <v>46331</v>
      </c>
      <c r="B310" s="5" t="s">
        <v>14</v>
      </c>
      <c r="C310" s="9">
        <v>0</v>
      </c>
      <c r="D310" s="9">
        <v>0</v>
      </c>
      <c r="E310" s="9">
        <v>0</v>
      </c>
      <c r="F310" s="9">
        <v>0</v>
      </c>
      <c r="G310" s="6">
        <f t="shared" si="4"/>
        <v>0</v>
      </c>
      <c r="H310" s="92"/>
      <c r="I310" s="94"/>
    </row>
    <row r="311" spans="1:9">
      <c r="A311" s="7">
        <v>46332</v>
      </c>
      <c r="B311" s="5" t="s">
        <v>14</v>
      </c>
      <c r="C311" s="9">
        <v>0</v>
      </c>
      <c r="D311" s="9">
        <v>0</v>
      </c>
      <c r="E311" s="9">
        <v>0</v>
      </c>
      <c r="F311" s="9">
        <v>0</v>
      </c>
      <c r="G311" s="6">
        <f t="shared" si="4"/>
        <v>0</v>
      </c>
      <c r="H311" s="92"/>
      <c r="I311" s="94"/>
    </row>
    <row r="312" spans="1:9">
      <c r="A312" s="7">
        <v>46333</v>
      </c>
      <c r="B312" s="5" t="s">
        <v>14</v>
      </c>
      <c r="C312" s="9">
        <v>0</v>
      </c>
      <c r="D312" s="9">
        <v>0</v>
      </c>
      <c r="E312" s="9">
        <v>0</v>
      </c>
      <c r="F312" s="9">
        <v>0</v>
      </c>
      <c r="G312" s="6">
        <f t="shared" si="4"/>
        <v>0</v>
      </c>
      <c r="H312" s="92"/>
      <c r="I312" s="94"/>
    </row>
    <row r="313" spans="1:9">
      <c r="A313" s="7">
        <v>46334</v>
      </c>
      <c r="B313" s="5" t="s">
        <v>14</v>
      </c>
      <c r="C313" s="9">
        <v>0</v>
      </c>
      <c r="D313" s="9">
        <v>0</v>
      </c>
      <c r="E313" s="9">
        <v>0</v>
      </c>
      <c r="F313" s="9">
        <v>0</v>
      </c>
      <c r="G313" s="6">
        <f t="shared" si="4"/>
        <v>0</v>
      </c>
      <c r="H313" s="93"/>
      <c r="I313" s="94"/>
    </row>
    <row r="314" spans="1:9">
      <c r="A314" s="7">
        <v>46335</v>
      </c>
      <c r="B314" s="5" t="s">
        <v>14</v>
      </c>
      <c r="C314" s="9">
        <v>0</v>
      </c>
      <c r="D314" s="9">
        <v>0</v>
      </c>
      <c r="E314" s="9">
        <v>0</v>
      </c>
      <c r="F314" s="9">
        <v>0</v>
      </c>
      <c r="G314" s="6">
        <f t="shared" si="4"/>
        <v>0</v>
      </c>
      <c r="H314" s="91">
        <f>SUM(G314:G320)</f>
        <v>0</v>
      </c>
      <c r="I314" s="94"/>
    </row>
    <row r="315" spans="1:9">
      <c r="A315" s="7">
        <v>46336</v>
      </c>
      <c r="B315" s="5" t="s">
        <v>14</v>
      </c>
      <c r="C315" s="9">
        <v>0</v>
      </c>
      <c r="D315" s="9">
        <v>0</v>
      </c>
      <c r="E315" s="9">
        <v>0</v>
      </c>
      <c r="F315" s="9">
        <v>0</v>
      </c>
      <c r="G315" s="6">
        <f t="shared" si="4"/>
        <v>0</v>
      </c>
      <c r="H315" s="92"/>
      <c r="I315" s="94"/>
    </row>
    <row r="316" spans="1:9">
      <c r="A316" s="7">
        <v>46337</v>
      </c>
      <c r="B316" s="5" t="s">
        <v>14</v>
      </c>
      <c r="C316" s="9">
        <v>0</v>
      </c>
      <c r="D316" s="9">
        <v>0</v>
      </c>
      <c r="E316" s="9">
        <v>0</v>
      </c>
      <c r="F316" s="9">
        <v>0</v>
      </c>
      <c r="G316" s="6">
        <f t="shared" si="4"/>
        <v>0</v>
      </c>
      <c r="H316" s="92"/>
      <c r="I316" s="94"/>
    </row>
    <row r="317" spans="1:9">
      <c r="A317" s="7">
        <v>46338</v>
      </c>
      <c r="B317" s="5" t="s">
        <v>14</v>
      </c>
      <c r="C317" s="9">
        <v>0</v>
      </c>
      <c r="D317" s="9">
        <v>0</v>
      </c>
      <c r="E317" s="9">
        <v>0</v>
      </c>
      <c r="F317" s="9">
        <v>0</v>
      </c>
      <c r="G317" s="6">
        <f t="shared" si="4"/>
        <v>0</v>
      </c>
      <c r="H317" s="92"/>
      <c r="I317" s="94"/>
    </row>
    <row r="318" spans="1:9">
      <c r="A318" s="7">
        <v>46339</v>
      </c>
      <c r="B318" s="5" t="s">
        <v>14</v>
      </c>
      <c r="C318" s="9">
        <v>0</v>
      </c>
      <c r="D318" s="9">
        <v>0</v>
      </c>
      <c r="E318" s="9">
        <v>0</v>
      </c>
      <c r="F318" s="9">
        <v>0</v>
      </c>
      <c r="G318" s="6">
        <f t="shared" si="4"/>
        <v>0</v>
      </c>
      <c r="H318" s="92"/>
      <c r="I318" s="94"/>
    </row>
    <row r="319" spans="1:9">
      <c r="A319" s="7">
        <v>46340</v>
      </c>
      <c r="B319" s="5" t="s">
        <v>14</v>
      </c>
      <c r="C319" s="9">
        <v>0</v>
      </c>
      <c r="D319" s="9">
        <v>0</v>
      </c>
      <c r="E319" s="9">
        <v>0</v>
      </c>
      <c r="F319" s="9">
        <v>0</v>
      </c>
      <c r="G319" s="6">
        <f t="shared" si="4"/>
        <v>0</v>
      </c>
      <c r="H319" s="92"/>
      <c r="I319" s="94"/>
    </row>
    <row r="320" spans="1:9">
      <c r="A320" s="7">
        <v>46341</v>
      </c>
      <c r="B320" s="5" t="s">
        <v>14</v>
      </c>
      <c r="C320" s="9">
        <v>0</v>
      </c>
      <c r="D320" s="9">
        <v>0</v>
      </c>
      <c r="E320" s="9">
        <v>0</v>
      </c>
      <c r="F320" s="9">
        <v>0</v>
      </c>
      <c r="G320" s="6">
        <f t="shared" si="4"/>
        <v>0</v>
      </c>
      <c r="H320" s="93"/>
      <c r="I320" s="94"/>
    </row>
    <row r="321" spans="1:9">
      <c r="A321" s="7">
        <v>46342</v>
      </c>
      <c r="B321" s="5" t="s">
        <v>14</v>
      </c>
      <c r="C321" s="9">
        <v>0</v>
      </c>
      <c r="D321" s="9">
        <v>0</v>
      </c>
      <c r="E321" s="9">
        <v>0</v>
      </c>
      <c r="F321" s="9">
        <v>0</v>
      </c>
      <c r="G321" s="6">
        <f t="shared" si="4"/>
        <v>0</v>
      </c>
      <c r="H321" s="91">
        <f>SUM(G321:G327)</f>
        <v>0</v>
      </c>
      <c r="I321" s="94"/>
    </row>
    <row r="322" spans="1:9">
      <c r="A322" s="7">
        <v>46343</v>
      </c>
      <c r="B322" s="5" t="s">
        <v>14</v>
      </c>
      <c r="C322" s="9">
        <v>0</v>
      </c>
      <c r="D322" s="9">
        <v>0</v>
      </c>
      <c r="E322" s="9">
        <v>0</v>
      </c>
      <c r="F322" s="9">
        <v>0</v>
      </c>
      <c r="G322" s="6">
        <f t="shared" si="4"/>
        <v>0</v>
      </c>
      <c r="H322" s="92"/>
      <c r="I322" s="94"/>
    </row>
    <row r="323" spans="1:9">
      <c r="A323" s="7">
        <v>46344</v>
      </c>
      <c r="B323" s="5" t="s">
        <v>14</v>
      </c>
      <c r="C323" s="9">
        <v>0</v>
      </c>
      <c r="D323" s="9">
        <v>0</v>
      </c>
      <c r="E323" s="9">
        <v>0</v>
      </c>
      <c r="F323" s="9">
        <v>0</v>
      </c>
      <c r="G323" s="6">
        <f t="shared" ref="G323:G367" si="5">SUM(F323,E323,C323-D323)</f>
        <v>0</v>
      </c>
      <c r="H323" s="92"/>
      <c r="I323" s="94"/>
    </row>
    <row r="324" spans="1:9">
      <c r="A324" s="7">
        <v>46345</v>
      </c>
      <c r="B324" s="5" t="s">
        <v>14</v>
      </c>
      <c r="C324" s="9">
        <v>0</v>
      </c>
      <c r="D324" s="9">
        <v>0</v>
      </c>
      <c r="E324" s="9">
        <v>0</v>
      </c>
      <c r="F324" s="9">
        <v>0</v>
      </c>
      <c r="G324" s="6">
        <f t="shared" si="5"/>
        <v>0</v>
      </c>
      <c r="H324" s="92"/>
      <c r="I324" s="94"/>
    </row>
    <row r="325" spans="1:9">
      <c r="A325" s="7">
        <v>46346</v>
      </c>
      <c r="B325" s="5" t="s">
        <v>14</v>
      </c>
      <c r="C325" s="9">
        <v>0</v>
      </c>
      <c r="D325" s="9">
        <v>0</v>
      </c>
      <c r="E325" s="9">
        <v>0</v>
      </c>
      <c r="F325" s="9">
        <v>0</v>
      </c>
      <c r="G325" s="6">
        <f t="shared" si="5"/>
        <v>0</v>
      </c>
      <c r="H325" s="92"/>
      <c r="I325" s="94"/>
    </row>
    <row r="326" spans="1:9">
      <c r="A326" s="7">
        <v>46347</v>
      </c>
      <c r="B326" s="5" t="s">
        <v>14</v>
      </c>
      <c r="C326" s="9">
        <v>0</v>
      </c>
      <c r="D326" s="9">
        <v>0</v>
      </c>
      <c r="E326" s="9">
        <v>0</v>
      </c>
      <c r="F326" s="9">
        <v>0</v>
      </c>
      <c r="G326" s="6">
        <f t="shared" si="5"/>
        <v>0</v>
      </c>
      <c r="H326" s="92"/>
      <c r="I326" s="94"/>
    </row>
    <row r="327" spans="1:9">
      <c r="A327" s="7">
        <v>46348</v>
      </c>
      <c r="B327" s="5" t="s">
        <v>14</v>
      </c>
      <c r="C327" s="9">
        <v>0</v>
      </c>
      <c r="D327" s="9">
        <v>0</v>
      </c>
      <c r="E327" s="9">
        <v>0</v>
      </c>
      <c r="F327" s="9">
        <v>0</v>
      </c>
      <c r="G327" s="6">
        <f t="shared" si="5"/>
        <v>0</v>
      </c>
      <c r="H327" s="93"/>
      <c r="I327" s="94"/>
    </row>
    <row r="328" spans="1:9">
      <c r="A328" s="7">
        <v>46349</v>
      </c>
      <c r="B328" s="5" t="s">
        <v>14</v>
      </c>
      <c r="C328" s="9">
        <v>0</v>
      </c>
      <c r="D328" s="9">
        <v>0</v>
      </c>
      <c r="E328" s="9">
        <v>0</v>
      </c>
      <c r="F328" s="9">
        <v>0</v>
      </c>
      <c r="G328" s="6">
        <f t="shared" si="5"/>
        <v>0</v>
      </c>
      <c r="H328" s="91">
        <f>SUM(G328:G334)</f>
        <v>0</v>
      </c>
      <c r="I328" s="94"/>
    </row>
    <row r="329" spans="1:9">
      <c r="A329" s="7">
        <v>46350</v>
      </c>
      <c r="B329" s="5" t="s">
        <v>14</v>
      </c>
      <c r="C329" s="9">
        <v>0</v>
      </c>
      <c r="D329" s="9">
        <v>0</v>
      </c>
      <c r="E329" s="9">
        <v>0</v>
      </c>
      <c r="F329" s="9">
        <v>0</v>
      </c>
      <c r="G329" s="6">
        <f t="shared" si="5"/>
        <v>0</v>
      </c>
      <c r="H329" s="92"/>
      <c r="I329" s="94"/>
    </row>
    <row r="330" spans="1:9">
      <c r="A330" s="7">
        <v>46351</v>
      </c>
      <c r="B330" s="5" t="s">
        <v>14</v>
      </c>
      <c r="C330" s="9">
        <v>0</v>
      </c>
      <c r="D330" s="9">
        <v>0</v>
      </c>
      <c r="E330" s="9">
        <v>0</v>
      </c>
      <c r="F330" s="9">
        <v>0</v>
      </c>
      <c r="G330" s="6">
        <f t="shared" si="5"/>
        <v>0</v>
      </c>
      <c r="H330" s="92"/>
      <c r="I330" s="94"/>
    </row>
    <row r="331" spans="1:9">
      <c r="A331" s="7">
        <v>46352</v>
      </c>
      <c r="B331" s="5" t="s">
        <v>14</v>
      </c>
      <c r="C331" s="9">
        <v>0</v>
      </c>
      <c r="D331" s="9">
        <v>0</v>
      </c>
      <c r="E331" s="9">
        <v>0</v>
      </c>
      <c r="F331" s="9">
        <v>0</v>
      </c>
      <c r="G331" s="6">
        <f t="shared" si="5"/>
        <v>0</v>
      </c>
      <c r="H331" s="92"/>
      <c r="I331" s="94"/>
    </row>
    <row r="332" spans="1:9">
      <c r="A332" s="7">
        <v>46353</v>
      </c>
      <c r="B332" s="5" t="s">
        <v>14</v>
      </c>
      <c r="C332" s="9">
        <v>0</v>
      </c>
      <c r="D332" s="9">
        <v>0</v>
      </c>
      <c r="E332" s="9">
        <v>0</v>
      </c>
      <c r="F332" s="9">
        <v>0</v>
      </c>
      <c r="G332" s="6">
        <f t="shared" si="5"/>
        <v>0</v>
      </c>
      <c r="H332" s="92"/>
      <c r="I332" s="94"/>
    </row>
    <row r="333" spans="1:9">
      <c r="A333" s="7">
        <v>46354</v>
      </c>
      <c r="B333" s="5" t="s">
        <v>14</v>
      </c>
      <c r="C333" s="9">
        <v>0</v>
      </c>
      <c r="D333" s="9">
        <v>0</v>
      </c>
      <c r="E333" s="9">
        <v>0</v>
      </c>
      <c r="F333" s="9">
        <v>0</v>
      </c>
      <c r="G333" s="6">
        <f t="shared" si="5"/>
        <v>0</v>
      </c>
      <c r="H333" s="92"/>
      <c r="I333" s="94"/>
    </row>
    <row r="334" spans="1:9">
      <c r="A334" s="7">
        <v>46355</v>
      </c>
      <c r="B334" s="5" t="s">
        <v>14</v>
      </c>
      <c r="C334" s="9">
        <v>0</v>
      </c>
      <c r="D334" s="9">
        <v>0</v>
      </c>
      <c r="E334" s="9">
        <v>0</v>
      </c>
      <c r="F334" s="9">
        <v>0</v>
      </c>
      <c r="G334" s="6">
        <f t="shared" si="5"/>
        <v>0</v>
      </c>
      <c r="H334" s="93"/>
      <c r="I334" s="94"/>
    </row>
    <row r="335" spans="1:9">
      <c r="A335" s="7">
        <v>46356</v>
      </c>
      <c r="B335" s="5" t="s">
        <v>14</v>
      </c>
      <c r="C335" s="9">
        <v>0</v>
      </c>
      <c r="D335" s="9">
        <v>0</v>
      </c>
      <c r="E335" s="9">
        <v>0</v>
      </c>
      <c r="F335" s="9">
        <v>0</v>
      </c>
      <c r="G335" s="6">
        <f t="shared" si="5"/>
        <v>0</v>
      </c>
      <c r="H335" s="91">
        <f>SUM(G335:G341)</f>
        <v>0</v>
      </c>
      <c r="I335" s="94"/>
    </row>
    <row r="336" spans="1:9">
      <c r="A336" s="7">
        <v>46357</v>
      </c>
      <c r="B336" s="5" t="s">
        <v>14</v>
      </c>
      <c r="C336" s="9">
        <v>0</v>
      </c>
      <c r="D336" s="9">
        <v>0</v>
      </c>
      <c r="E336" s="9">
        <v>0</v>
      </c>
      <c r="F336" s="9">
        <v>0</v>
      </c>
      <c r="G336" s="6">
        <f t="shared" si="5"/>
        <v>0</v>
      </c>
      <c r="H336" s="92"/>
      <c r="I336" s="94"/>
    </row>
    <row r="337" spans="1:9">
      <c r="A337" s="7">
        <v>46358</v>
      </c>
      <c r="B337" s="5" t="s">
        <v>14</v>
      </c>
      <c r="C337" s="9">
        <v>0</v>
      </c>
      <c r="D337" s="9">
        <v>0</v>
      </c>
      <c r="E337" s="9">
        <v>0</v>
      </c>
      <c r="F337" s="9">
        <v>0</v>
      </c>
      <c r="G337" s="6">
        <f t="shared" si="5"/>
        <v>0</v>
      </c>
      <c r="H337" s="92"/>
      <c r="I337" s="94"/>
    </row>
    <row r="338" spans="1:9">
      <c r="A338" s="7">
        <v>46359</v>
      </c>
      <c r="B338" s="5" t="s">
        <v>14</v>
      </c>
      <c r="C338" s="9">
        <v>0</v>
      </c>
      <c r="D338" s="9">
        <v>0</v>
      </c>
      <c r="E338" s="9">
        <v>0</v>
      </c>
      <c r="F338" s="9">
        <v>0</v>
      </c>
      <c r="G338" s="6">
        <f t="shared" si="5"/>
        <v>0</v>
      </c>
      <c r="H338" s="92"/>
      <c r="I338" s="94"/>
    </row>
    <row r="339" spans="1:9">
      <c r="A339" s="7">
        <v>46360</v>
      </c>
      <c r="B339" s="5" t="s">
        <v>14</v>
      </c>
      <c r="C339" s="9">
        <v>0</v>
      </c>
      <c r="D339" s="9">
        <v>0</v>
      </c>
      <c r="E339" s="9">
        <v>0</v>
      </c>
      <c r="F339" s="9">
        <v>0</v>
      </c>
      <c r="G339" s="6">
        <f t="shared" si="5"/>
        <v>0</v>
      </c>
      <c r="H339" s="92"/>
      <c r="I339" s="94"/>
    </row>
    <row r="340" spans="1:9">
      <c r="A340" s="7">
        <v>46361</v>
      </c>
      <c r="B340" s="5" t="s">
        <v>14</v>
      </c>
      <c r="C340" s="9">
        <v>0</v>
      </c>
      <c r="D340" s="9">
        <v>0</v>
      </c>
      <c r="E340" s="9">
        <v>0</v>
      </c>
      <c r="F340" s="9">
        <v>0</v>
      </c>
      <c r="G340" s="6">
        <f t="shared" si="5"/>
        <v>0</v>
      </c>
      <c r="H340" s="92"/>
      <c r="I340" s="94"/>
    </row>
    <row r="341" spans="1:9">
      <c r="A341" s="7">
        <v>46362</v>
      </c>
      <c r="B341" s="5" t="s">
        <v>14</v>
      </c>
      <c r="C341" s="9">
        <v>0</v>
      </c>
      <c r="D341" s="9">
        <v>0</v>
      </c>
      <c r="E341" s="9">
        <v>0</v>
      </c>
      <c r="F341" s="9">
        <v>0</v>
      </c>
      <c r="G341" s="6">
        <f t="shared" si="5"/>
        <v>0</v>
      </c>
      <c r="H341" s="93"/>
      <c r="I341" s="94"/>
    </row>
    <row r="342" spans="1:9">
      <c r="A342" s="7">
        <v>46363</v>
      </c>
      <c r="B342" s="5" t="s">
        <v>14</v>
      </c>
      <c r="C342" s="9">
        <v>0</v>
      </c>
      <c r="D342" s="9">
        <v>0</v>
      </c>
      <c r="E342" s="9">
        <v>0</v>
      </c>
      <c r="F342" s="9">
        <v>0</v>
      </c>
      <c r="G342" s="6">
        <f t="shared" si="5"/>
        <v>0</v>
      </c>
      <c r="H342" s="91">
        <f>SUM(G342:G348)</f>
        <v>0</v>
      </c>
      <c r="I342" s="94"/>
    </row>
    <row r="343" spans="1:9">
      <c r="A343" s="7">
        <v>46364</v>
      </c>
      <c r="B343" s="5" t="s">
        <v>14</v>
      </c>
      <c r="C343" s="9">
        <v>0</v>
      </c>
      <c r="D343" s="9">
        <v>0</v>
      </c>
      <c r="E343" s="9">
        <v>0</v>
      </c>
      <c r="F343" s="9">
        <v>0</v>
      </c>
      <c r="G343" s="6">
        <f t="shared" si="5"/>
        <v>0</v>
      </c>
      <c r="H343" s="92"/>
      <c r="I343" s="94"/>
    </row>
    <row r="344" spans="1:9">
      <c r="A344" s="7">
        <v>46365</v>
      </c>
      <c r="B344" s="5" t="s">
        <v>14</v>
      </c>
      <c r="C344" s="9">
        <v>0</v>
      </c>
      <c r="D344" s="9">
        <v>0</v>
      </c>
      <c r="E344" s="9">
        <v>0</v>
      </c>
      <c r="F344" s="9">
        <v>0</v>
      </c>
      <c r="G344" s="6">
        <f t="shared" si="5"/>
        <v>0</v>
      </c>
      <c r="H344" s="92"/>
      <c r="I344" s="94"/>
    </row>
    <row r="345" spans="1:9">
      <c r="A345" s="7">
        <v>46366</v>
      </c>
      <c r="B345" s="5" t="s">
        <v>14</v>
      </c>
      <c r="C345" s="9">
        <v>0</v>
      </c>
      <c r="D345" s="9">
        <v>0</v>
      </c>
      <c r="E345" s="9">
        <v>0</v>
      </c>
      <c r="F345" s="9">
        <v>0</v>
      </c>
      <c r="G345" s="6">
        <f t="shared" si="5"/>
        <v>0</v>
      </c>
      <c r="H345" s="92"/>
      <c r="I345" s="94"/>
    </row>
    <row r="346" spans="1:9">
      <c r="A346" s="7">
        <v>46367</v>
      </c>
      <c r="B346" s="5" t="s">
        <v>14</v>
      </c>
      <c r="C346" s="9">
        <v>0</v>
      </c>
      <c r="D346" s="9">
        <v>0</v>
      </c>
      <c r="E346" s="9">
        <v>0</v>
      </c>
      <c r="F346" s="9">
        <v>0</v>
      </c>
      <c r="G346" s="6">
        <f t="shared" si="5"/>
        <v>0</v>
      </c>
      <c r="H346" s="92"/>
      <c r="I346" s="94"/>
    </row>
    <row r="347" spans="1:9">
      <c r="A347" s="7">
        <v>46368</v>
      </c>
      <c r="B347" s="5" t="s">
        <v>14</v>
      </c>
      <c r="C347" s="9">
        <v>0</v>
      </c>
      <c r="D347" s="9">
        <v>0</v>
      </c>
      <c r="E347" s="9">
        <v>0</v>
      </c>
      <c r="F347" s="9">
        <v>0</v>
      </c>
      <c r="G347" s="6">
        <f t="shared" si="5"/>
        <v>0</v>
      </c>
      <c r="H347" s="92"/>
      <c r="I347" s="94"/>
    </row>
    <row r="348" spans="1:9">
      <c r="A348" s="7">
        <v>46369</v>
      </c>
      <c r="B348" s="5" t="s">
        <v>14</v>
      </c>
      <c r="C348" s="9">
        <v>0</v>
      </c>
      <c r="D348" s="9">
        <v>0</v>
      </c>
      <c r="E348" s="9">
        <v>0</v>
      </c>
      <c r="F348" s="9">
        <v>0</v>
      </c>
      <c r="G348" s="6">
        <f t="shared" si="5"/>
        <v>0</v>
      </c>
      <c r="H348" s="93"/>
      <c r="I348" s="94"/>
    </row>
    <row r="349" spans="1:9">
      <c r="A349" s="7">
        <v>46370</v>
      </c>
      <c r="B349" s="5" t="s">
        <v>14</v>
      </c>
      <c r="C349" s="9">
        <v>0</v>
      </c>
      <c r="D349" s="9">
        <v>0</v>
      </c>
      <c r="E349" s="9">
        <v>0</v>
      </c>
      <c r="F349" s="9">
        <v>0</v>
      </c>
      <c r="G349" s="6">
        <f t="shared" si="5"/>
        <v>0</v>
      </c>
      <c r="H349" s="91">
        <f>SUM(G349:G355)</f>
        <v>0</v>
      </c>
      <c r="I349" s="94"/>
    </row>
    <row r="350" spans="1:9">
      <c r="A350" s="7">
        <v>46371</v>
      </c>
      <c r="B350" s="5" t="s">
        <v>14</v>
      </c>
      <c r="C350" s="9">
        <v>0</v>
      </c>
      <c r="D350" s="9">
        <v>0</v>
      </c>
      <c r="E350" s="9">
        <v>0</v>
      </c>
      <c r="F350" s="9">
        <v>0</v>
      </c>
      <c r="G350" s="6">
        <f t="shared" si="5"/>
        <v>0</v>
      </c>
      <c r="H350" s="92"/>
      <c r="I350" s="94"/>
    </row>
    <row r="351" spans="1:9">
      <c r="A351" s="7">
        <v>46372</v>
      </c>
      <c r="B351" s="5" t="s">
        <v>14</v>
      </c>
      <c r="C351" s="9">
        <v>0</v>
      </c>
      <c r="D351" s="9">
        <v>0</v>
      </c>
      <c r="E351" s="9">
        <v>0</v>
      </c>
      <c r="F351" s="9">
        <v>0</v>
      </c>
      <c r="G351" s="6">
        <f t="shared" si="5"/>
        <v>0</v>
      </c>
      <c r="H351" s="92"/>
      <c r="I351" s="94"/>
    </row>
    <row r="352" spans="1:9">
      <c r="A352" s="7">
        <v>46373</v>
      </c>
      <c r="B352" s="5" t="s">
        <v>14</v>
      </c>
      <c r="C352" s="9">
        <v>0</v>
      </c>
      <c r="D352" s="9">
        <v>0</v>
      </c>
      <c r="E352" s="9">
        <v>0</v>
      </c>
      <c r="F352" s="9">
        <v>0</v>
      </c>
      <c r="G352" s="6">
        <f t="shared" si="5"/>
        <v>0</v>
      </c>
      <c r="H352" s="92"/>
      <c r="I352" s="94"/>
    </row>
    <row r="353" spans="1:9">
      <c r="A353" s="7">
        <v>46374</v>
      </c>
      <c r="B353" s="5" t="s">
        <v>14</v>
      </c>
      <c r="C353" s="9">
        <v>0</v>
      </c>
      <c r="D353" s="9">
        <v>0</v>
      </c>
      <c r="E353" s="9">
        <v>0</v>
      </c>
      <c r="F353" s="9">
        <v>0</v>
      </c>
      <c r="G353" s="6">
        <f t="shared" si="5"/>
        <v>0</v>
      </c>
      <c r="H353" s="92"/>
      <c r="I353" s="94"/>
    </row>
    <row r="354" spans="1:9">
      <c r="A354" s="7">
        <v>46375</v>
      </c>
      <c r="B354" s="5" t="s">
        <v>14</v>
      </c>
      <c r="C354" s="9">
        <v>0</v>
      </c>
      <c r="D354" s="9">
        <v>0</v>
      </c>
      <c r="E354" s="9">
        <v>0</v>
      </c>
      <c r="F354" s="9">
        <v>0</v>
      </c>
      <c r="G354" s="6">
        <f t="shared" si="5"/>
        <v>0</v>
      </c>
      <c r="H354" s="92"/>
      <c r="I354" s="94"/>
    </row>
    <row r="355" spans="1:9">
      <c r="A355" s="7">
        <v>46376</v>
      </c>
      <c r="B355" s="5" t="s">
        <v>14</v>
      </c>
      <c r="C355" s="9">
        <v>0</v>
      </c>
      <c r="D355" s="9">
        <v>0</v>
      </c>
      <c r="E355" s="9">
        <v>0</v>
      </c>
      <c r="F355" s="9">
        <v>0</v>
      </c>
      <c r="G355" s="6">
        <f t="shared" si="5"/>
        <v>0</v>
      </c>
      <c r="H355" s="93"/>
      <c r="I355" s="94"/>
    </row>
    <row r="356" spans="1:9">
      <c r="A356" s="7">
        <v>46377</v>
      </c>
      <c r="B356" s="5" t="s">
        <v>14</v>
      </c>
      <c r="C356" s="9">
        <v>0</v>
      </c>
      <c r="D356" s="9">
        <v>0</v>
      </c>
      <c r="E356" s="9">
        <v>0</v>
      </c>
      <c r="F356" s="9">
        <v>0</v>
      </c>
      <c r="G356" s="6">
        <f t="shared" si="5"/>
        <v>0</v>
      </c>
      <c r="H356" s="91">
        <f>SUM(G356:G362)</f>
        <v>0</v>
      </c>
      <c r="I356" s="94"/>
    </row>
    <row r="357" spans="1:9">
      <c r="A357" s="7">
        <v>46378</v>
      </c>
      <c r="B357" s="5" t="s">
        <v>14</v>
      </c>
      <c r="C357" s="9">
        <v>0</v>
      </c>
      <c r="D357" s="9">
        <v>0</v>
      </c>
      <c r="E357" s="9">
        <v>0</v>
      </c>
      <c r="F357" s="9">
        <v>0</v>
      </c>
      <c r="G357" s="6">
        <f t="shared" si="5"/>
        <v>0</v>
      </c>
      <c r="H357" s="92"/>
      <c r="I357" s="94"/>
    </row>
    <row r="358" spans="1:9">
      <c r="A358" s="7">
        <v>46379</v>
      </c>
      <c r="B358" s="5" t="s">
        <v>14</v>
      </c>
      <c r="C358" s="9">
        <v>0</v>
      </c>
      <c r="D358" s="9">
        <v>0</v>
      </c>
      <c r="E358" s="9">
        <v>0</v>
      </c>
      <c r="F358" s="9">
        <v>0</v>
      </c>
      <c r="G358" s="6">
        <f t="shared" si="5"/>
        <v>0</v>
      </c>
      <c r="H358" s="92"/>
      <c r="I358" s="94"/>
    </row>
    <row r="359" spans="1:9">
      <c r="A359" s="7">
        <v>46380</v>
      </c>
      <c r="B359" s="5" t="s">
        <v>14</v>
      </c>
      <c r="C359" s="9">
        <v>0</v>
      </c>
      <c r="D359" s="9">
        <v>0</v>
      </c>
      <c r="E359" s="9">
        <v>0</v>
      </c>
      <c r="F359" s="9">
        <v>0</v>
      </c>
      <c r="G359" s="6">
        <f t="shared" si="5"/>
        <v>0</v>
      </c>
      <c r="H359" s="92"/>
      <c r="I359" s="94"/>
    </row>
    <row r="360" spans="1:9">
      <c r="A360" s="7">
        <v>46381</v>
      </c>
      <c r="B360" s="5" t="s">
        <v>14</v>
      </c>
      <c r="C360" s="9">
        <v>0</v>
      </c>
      <c r="D360" s="9">
        <v>0</v>
      </c>
      <c r="E360" s="9">
        <v>0</v>
      </c>
      <c r="F360" s="9">
        <v>0</v>
      </c>
      <c r="G360" s="6">
        <f t="shared" si="5"/>
        <v>0</v>
      </c>
      <c r="H360" s="92"/>
      <c r="I360" s="94"/>
    </row>
    <row r="361" spans="1:9">
      <c r="A361" s="7">
        <v>46382</v>
      </c>
      <c r="B361" s="5" t="s">
        <v>14</v>
      </c>
      <c r="C361" s="9">
        <v>0</v>
      </c>
      <c r="D361" s="9">
        <v>0</v>
      </c>
      <c r="E361" s="9">
        <v>0</v>
      </c>
      <c r="F361" s="9">
        <v>0</v>
      </c>
      <c r="G361" s="6">
        <f t="shared" si="5"/>
        <v>0</v>
      </c>
      <c r="H361" s="92"/>
      <c r="I361" s="94"/>
    </row>
    <row r="362" spans="1:9">
      <c r="A362" s="7">
        <v>46383</v>
      </c>
      <c r="B362" s="5" t="s">
        <v>14</v>
      </c>
      <c r="C362" s="9">
        <v>0</v>
      </c>
      <c r="D362" s="9">
        <v>0</v>
      </c>
      <c r="E362" s="9">
        <v>0</v>
      </c>
      <c r="F362" s="9">
        <v>0</v>
      </c>
      <c r="G362" s="6">
        <f t="shared" si="5"/>
        <v>0</v>
      </c>
      <c r="H362" s="93"/>
      <c r="I362" s="94"/>
    </row>
    <row r="363" spans="1:9">
      <c r="A363" s="7">
        <v>46384</v>
      </c>
      <c r="B363" s="5" t="s">
        <v>14</v>
      </c>
      <c r="C363" s="9">
        <v>0</v>
      </c>
      <c r="D363" s="9">
        <v>0</v>
      </c>
      <c r="E363" s="9">
        <v>0</v>
      </c>
      <c r="F363" s="9">
        <v>0</v>
      </c>
      <c r="G363" s="6">
        <f t="shared" si="5"/>
        <v>0</v>
      </c>
      <c r="H363" s="12"/>
      <c r="I363" s="94"/>
    </row>
    <row r="364" spans="1:9">
      <c r="A364" s="7">
        <v>46385</v>
      </c>
      <c r="B364" s="5" t="s">
        <v>14</v>
      </c>
      <c r="C364" s="9">
        <v>0</v>
      </c>
      <c r="D364" s="9">
        <v>0</v>
      </c>
      <c r="E364" s="9">
        <v>0</v>
      </c>
      <c r="F364" s="9">
        <v>0</v>
      </c>
      <c r="G364" s="6">
        <f t="shared" si="5"/>
        <v>0</v>
      </c>
      <c r="H364" s="12"/>
      <c r="I364" s="94"/>
    </row>
    <row r="365" spans="1:9">
      <c r="A365" s="7">
        <v>46386</v>
      </c>
      <c r="B365" s="5" t="s">
        <v>14</v>
      </c>
      <c r="C365" s="9">
        <v>0</v>
      </c>
      <c r="D365" s="9">
        <v>0</v>
      </c>
      <c r="E365" s="9">
        <v>0</v>
      </c>
      <c r="F365" s="9">
        <v>0</v>
      </c>
      <c r="G365" s="6">
        <f t="shared" si="5"/>
        <v>0</v>
      </c>
      <c r="H365" s="12"/>
      <c r="I365" s="94"/>
    </row>
    <row r="366" spans="1:9">
      <c r="A366" s="7">
        <v>46387</v>
      </c>
      <c r="B366" s="5" t="s">
        <v>14</v>
      </c>
      <c r="C366" s="9">
        <v>0</v>
      </c>
      <c r="D366" s="9">
        <v>0</v>
      </c>
      <c r="E366" s="9">
        <v>0</v>
      </c>
      <c r="F366" s="9">
        <v>0</v>
      </c>
      <c r="G366" s="6">
        <f t="shared" si="5"/>
        <v>0</v>
      </c>
      <c r="H366" s="12"/>
      <c r="I366" s="94"/>
    </row>
    <row r="367" spans="1:9">
      <c r="A367" s="7">
        <v>46388</v>
      </c>
      <c r="B367" s="5" t="s">
        <v>14</v>
      </c>
      <c r="C367" s="9">
        <v>0</v>
      </c>
      <c r="D367" s="9">
        <v>0</v>
      </c>
      <c r="E367" s="9">
        <v>0</v>
      </c>
      <c r="F367" s="9">
        <v>0</v>
      </c>
      <c r="G367" s="6">
        <f t="shared" si="5"/>
        <v>0</v>
      </c>
      <c r="H367" s="12"/>
      <c r="I367" s="9"/>
    </row>
    <row r="368" spans="1:9">
      <c r="H368" s="1"/>
    </row>
    <row r="369" spans="8:8">
      <c r="H369" s="1"/>
    </row>
    <row r="370" spans="8:8">
      <c r="H370" s="1"/>
    </row>
    <row r="371" spans="8:8">
      <c r="H371" s="1"/>
    </row>
    <row r="372" spans="8:8">
      <c r="H372" s="1"/>
    </row>
    <row r="373" spans="8:8">
      <c r="H373" s="1"/>
    </row>
    <row r="374" spans="8:8">
      <c r="H374" s="1"/>
    </row>
    <row r="375" spans="8:8">
      <c r="H375" s="1"/>
    </row>
    <row r="376" spans="8:8">
      <c r="H376" s="1"/>
    </row>
    <row r="377" spans="8:8">
      <c r="H377" s="1"/>
    </row>
    <row r="378" spans="8:8">
      <c r="H378" s="1"/>
    </row>
    <row r="379" spans="8:8">
      <c r="H379" s="1"/>
    </row>
  </sheetData>
  <mergeCells count="64">
    <mergeCell ref="H321:H327"/>
    <mergeCell ref="H258:H264"/>
    <mergeCell ref="H293:H299"/>
    <mergeCell ref="H300:H306"/>
    <mergeCell ref="H307:H313"/>
    <mergeCell ref="H314:H320"/>
    <mergeCell ref="H125:H131"/>
    <mergeCell ref="H132:H138"/>
    <mergeCell ref="H139:H145"/>
    <mergeCell ref="H146:H152"/>
    <mergeCell ref="H153:H159"/>
    <mergeCell ref="H90:H96"/>
    <mergeCell ref="H97:H103"/>
    <mergeCell ref="H104:H110"/>
    <mergeCell ref="H111:H117"/>
    <mergeCell ref="H118:H124"/>
    <mergeCell ref="I122:I152"/>
    <mergeCell ref="H2:H5"/>
    <mergeCell ref="H6:H12"/>
    <mergeCell ref="H13:H19"/>
    <mergeCell ref="H20:H26"/>
    <mergeCell ref="H27:H33"/>
    <mergeCell ref="H34:H40"/>
    <mergeCell ref="H41:H47"/>
    <mergeCell ref="H48:H54"/>
    <mergeCell ref="H55:H61"/>
    <mergeCell ref="I2:I60"/>
    <mergeCell ref="I61:I91"/>
    <mergeCell ref="I92:I121"/>
    <mergeCell ref="H62:H68"/>
    <mergeCell ref="H69:H75"/>
    <mergeCell ref="H76:H82"/>
    <mergeCell ref="H216:H222"/>
    <mergeCell ref="I336:I366"/>
    <mergeCell ref="I275:I305"/>
    <mergeCell ref="I214:I244"/>
    <mergeCell ref="I153:I182"/>
    <mergeCell ref="I245:I274"/>
    <mergeCell ref="I306:I335"/>
    <mergeCell ref="I183:I213"/>
    <mergeCell ref="H167:H173"/>
    <mergeCell ref="H160:H166"/>
    <mergeCell ref="H328:H334"/>
    <mergeCell ref="H223:H229"/>
    <mergeCell ref="H230:H236"/>
    <mergeCell ref="H237:H243"/>
    <mergeCell ref="H244:H250"/>
    <mergeCell ref="H251:H257"/>
    <mergeCell ref="K4:O12"/>
    <mergeCell ref="H83:H89"/>
    <mergeCell ref="H349:H355"/>
    <mergeCell ref="H356:H362"/>
    <mergeCell ref="H265:H271"/>
    <mergeCell ref="H272:H278"/>
    <mergeCell ref="H279:H285"/>
    <mergeCell ref="H286:H292"/>
    <mergeCell ref="H174:H180"/>
    <mergeCell ref="H181:H187"/>
    <mergeCell ref="H188:H194"/>
    <mergeCell ref="H335:H341"/>
    <mergeCell ref="H342:H348"/>
    <mergeCell ref="H195:H201"/>
    <mergeCell ref="H202:H208"/>
    <mergeCell ref="H209:H2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2F8-103E-4AE1-B6D2-1E6FAF87D517}">
  <dimension ref="A1:O367"/>
  <sheetViews>
    <sheetView topLeftCell="A109" zoomScaleNormal="100" workbookViewId="0">
      <selection activeCell="C124" sqref="C124"/>
    </sheetView>
  </sheetViews>
  <sheetFormatPr defaultRowHeight="15"/>
  <cols>
    <col min="1" max="1" width="10.42578125" style="4" bestFit="1" customWidth="1"/>
    <col min="2" max="2" width="22.7109375" style="4" bestFit="1" customWidth="1"/>
    <col min="3" max="3" width="5.42578125" style="4" bestFit="1" customWidth="1"/>
    <col min="4" max="4" width="7.42578125" style="4" bestFit="1" customWidth="1"/>
    <col min="5" max="5" width="24.7109375" style="4" bestFit="1" customWidth="1"/>
    <col min="6" max="6" width="5" style="4" bestFit="1" customWidth="1"/>
    <col min="7" max="7" width="11.85546875" style="4" bestFit="1" customWidth="1"/>
    <col min="8" max="9" width="11.42578125" style="4" bestFit="1" customWidth="1"/>
    <col min="10" max="16384" width="9.140625" style="4"/>
  </cols>
  <sheetData>
    <row r="1" spans="1:15">
      <c r="A1" s="13" t="s">
        <v>91</v>
      </c>
      <c r="B1" s="13" t="s">
        <v>0</v>
      </c>
      <c r="C1" s="13" t="s">
        <v>92</v>
      </c>
      <c r="D1" s="13" t="s">
        <v>93</v>
      </c>
      <c r="E1" s="13" t="s">
        <v>94</v>
      </c>
      <c r="F1" s="13" t="s">
        <v>95</v>
      </c>
      <c r="G1" s="14" t="s">
        <v>96</v>
      </c>
      <c r="H1" s="15" t="s">
        <v>97</v>
      </c>
      <c r="I1" s="13" t="s">
        <v>98</v>
      </c>
    </row>
    <row r="2" spans="1:15">
      <c r="A2" s="7">
        <v>46023</v>
      </c>
      <c r="B2" s="5" t="s">
        <v>40</v>
      </c>
      <c r="C2" s="5">
        <v>6</v>
      </c>
      <c r="D2" s="5">
        <v>2</v>
      </c>
      <c r="E2" s="5">
        <v>0</v>
      </c>
      <c r="F2" s="5">
        <v>0</v>
      </c>
      <c r="G2" s="6">
        <f>SUM(F2,E2,C2-D2)</f>
        <v>4</v>
      </c>
      <c r="H2" s="91">
        <f>SUM(G2:G5)</f>
        <v>22</v>
      </c>
      <c r="I2" s="8"/>
    </row>
    <row r="3" spans="1:15">
      <c r="A3" s="7">
        <v>46024</v>
      </c>
      <c r="B3" s="5" t="s">
        <v>40</v>
      </c>
      <c r="C3" s="5">
        <v>8</v>
      </c>
      <c r="D3" s="5">
        <v>1</v>
      </c>
      <c r="E3" s="5">
        <v>0</v>
      </c>
      <c r="F3" s="5">
        <v>0</v>
      </c>
      <c r="G3" s="6">
        <f t="shared" ref="G3:G66" si="0">SUM(F3,E3,C3-D3)</f>
        <v>7</v>
      </c>
      <c r="H3" s="92"/>
      <c r="I3" s="8"/>
    </row>
    <row r="4" spans="1:15">
      <c r="A4" s="7">
        <v>46025</v>
      </c>
      <c r="B4" s="5" t="s">
        <v>40</v>
      </c>
      <c r="C4" s="5">
        <v>5</v>
      </c>
      <c r="D4" s="5">
        <v>2</v>
      </c>
      <c r="E4" s="5">
        <v>0</v>
      </c>
      <c r="F4" s="5">
        <v>0</v>
      </c>
      <c r="G4" s="6">
        <f t="shared" si="0"/>
        <v>3</v>
      </c>
      <c r="H4" s="92"/>
      <c r="I4" s="8"/>
    </row>
    <row r="5" spans="1:15">
      <c r="A5" s="7">
        <v>46026</v>
      </c>
      <c r="B5" s="5" t="s">
        <v>40</v>
      </c>
      <c r="C5" s="5">
        <v>8</v>
      </c>
      <c r="D5" s="5">
        <v>0</v>
      </c>
      <c r="E5" s="5">
        <v>0</v>
      </c>
      <c r="F5" s="5">
        <v>0</v>
      </c>
      <c r="G5" s="6">
        <f t="shared" si="0"/>
        <v>8</v>
      </c>
      <c r="H5" s="93"/>
      <c r="I5" s="8"/>
    </row>
    <row r="6" spans="1:15">
      <c r="A6" s="7">
        <v>46027</v>
      </c>
      <c r="B6" s="5" t="s">
        <v>40</v>
      </c>
      <c r="C6" s="5">
        <v>7</v>
      </c>
      <c r="D6" s="5">
        <v>3</v>
      </c>
      <c r="E6" s="5">
        <v>0</v>
      </c>
      <c r="F6" s="5">
        <v>0</v>
      </c>
      <c r="G6" s="6">
        <f t="shared" si="0"/>
        <v>4</v>
      </c>
      <c r="H6" s="91">
        <f>SUM(G6:G12)</f>
        <v>22</v>
      </c>
      <c r="I6" s="8"/>
    </row>
    <row r="7" spans="1:15">
      <c r="A7" s="7">
        <v>46028</v>
      </c>
      <c r="B7" s="5" t="s">
        <v>40</v>
      </c>
      <c r="C7" s="5">
        <v>3</v>
      </c>
      <c r="D7" s="5">
        <v>0</v>
      </c>
      <c r="E7" s="5">
        <v>0</v>
      </c>
      <c r="F7" s="5">
        <v>0</v>
      </c>
      <c r="G7" s="6">
        <f t="shared" si="0"/>
        <v>3</v>
      </c>
      <c r="H7" s="92"/>
      <c r="I7" s="8"/>
    </row>
    <row r="8" spans="1:15">
      <c r="A8" s="7">
        <v>46029</v>
      </c>
      <c r="B8" s="5" t="s">
        <v>40</v>
      </c>
      <c r="C8" s="5">
        <v>2</v>
      </c>
      <c r="D8" s="5">
        <v>0</v>
      </c>
      <c r="E8" s="5">
        <v>0</v>
      </c>
      <c r="F8" s="5">
        <v>0</v>
      </c>
      <c r="G8" s="6">
        <f t="shared" si="0"/>
        <v>2</v>
      </c>
      <c r="H8" s="92"/>
      <c r="I8" s="8"/>
      <c r="K8" s="87" t="s">
        <v>99</v>
      </c>
      <c r="L8" s="88"/>
      <c r="M8" s="88"/>
      <c r="N8" s="88"/>
      <c r="O8" s="88"/>
    </row>
    <row r="9" spans="1:15">
      <c r="A9" s="7">
        <v>46030</v>
      </c>
      <c r="B9" s="5" t="s">
        <v>40</v>
      </c>
      <c r="C9" s="5">
        <v>3</v>
      </c>
      <c r="D9" s="5">
        <v>0</v>
      </c>
      <c r="E9" s="5">
        <v>0</v>
      </c>
      <c r="F9" s="5">
        <v>0</v>
      </c>
      <c r="G9" s="6">
        <f t="shared" si="0"/>
        <v>3</v>
      </c>
      <c r="H9" s="92"/>
      <c r="I9" s="8"/>
      <c r="K9" s="88"/>
      <c r="L9" s="88"/>
      <c r="M9" s="88"/>
      <c r="N9" s="88"/>
      <c r="O9" s="88"/>
    </row>
    <row r="10" spans="1:15">
      <c r="A10" s="7">
        <v>46031</v>
      </c>
      <c r="B10" s="5" t="s">
        <v>40</v>
      </c>
      <c r="C10" s="5">
        <v>3</v>
      </c>
      <c r="D10" s="5">
        <v>1</v>
      </c>
      <c r="E10" s="5">
        <v>0</v>
      </c>
      <c r="F10" s="5">
        <v>0</v>
      </c>
      <c r="G10" s="6">
        <f t="shared" si="0"/>
        <v>2</v>
      </c>
      <c r="H10" s="92"/>
      <c r="I10" s="8"/>
      <c r="K10" s="88"/>
      <c r="L10" s="88"/>
      <c r="M10" s="88"/>
      <c r="N10" s="88"/>
      <c r="O10" s="88"/>
    </row>
    <row r="11" spans="1:15">
      <c r="A11" s="7">
        <v>46032</v>
      </c>
      <c r="B11" s="5" t="s">
        <v>40</v>
      </c>
      <c r="C11" s="5">
        <v>5</v>
      </c>
      <c r="D11" s="5">
        <v>0</v>
      </c>
      <c r="E11" s="5">
        <v>0</v>
      </c>
      <c r="F11" s="5">
        <v>0</v>
      </c>
      <c r="G11" s="6">
        <f t="shared" si="0"/>
        <v>5</v>
      </c>
      <c r="H11" s="92"/>
      <c r="I11" s="8"/>
      <c r="K11" s="88"/>
      <c r="L11" s="88"/>
      <c r="M11" s="88"/>
      <c r="N11" s="88"/>
      <c r="O11" s="88"/>
    </row>
    <row r="12" spans="1:15">
      <c r="A12" s="7">
        <v>46033</v>
      </c>
      <c r="B12" s="5" t="s">
        <v>40</v>
      </c>
      <c r="C12" s="5">
        <v>4</v>
      </c>
      <c r="D12" s="5">
        <v>1</v>
      </c>
      <c r="E12" s="5">
        <v>0</v>
      </c>
      <c r="F12" s="5">
        <v>0</v>
      </c>
      <c r="G12" s="6">
        <f t="shared" si="0"/>
        <v>3</v>
      </c>
      <c r="H12" s="93"/>
      <c r="I12" s="8"/>
      <c r="K12" s="88"/>
      <c r="L12" s="88"/>
      <c r="M12" s="88"/>
      <c r="N12" s="88"/>
      <c r="O12" s="88"/>
    </row>
    <row r="13" spans="1:15">
      <c r="A13" s="7">
        <v>46034</v>
      </c>
      <c r="B13" s="5" t="s">
        <v>40</v>
      </c>
      <c r="C13" s="5">
        <v>6</v>
      </c>
      <c r="D13" s="5">
        <v>0</v>
      </c>
      <c r="E13" s="5">
        <v>0</v>
      </c>
      <c r="F13" s="5">
        <v>0</v>
      </c>
      <c r="G13" s="6">
        <f t="shared" si="0"/>
        <v>6</v>
      </c>
      <c r="H13" s="91">
        <f>SUM(G13:G19)</f>
        <v>23</v>
      </c>
      <c r="I13" s="8"/>
      <c r="K13" s="88"/>
      <c r="L13" s="88"/>
      <c r="M13" s="88"/>
      <c r="N13" s="88"/>
      <c r="O13" s="88"/>
    </row>
    <row r="14" spans="1:15">
      <c r="A14" s="7">
        <v>46035</v>
      </c>
      <c r="B14" s="5" t="s">
        <v>40</v>
      </c>
      <c r="C14" s="5">
        <v>3</v>
      </c>
      <c r="D14" s="5">
        <v>2</v>
      </c>
      <c r="E14" s="5">
        <v>0</v>
      </c>
      <c r="F14" s="5">
        <v>0</v>
      </c>
      <c r="G14" s="6">
        <f t="shared" si="0"/>
        <v>1</v>
      </c>
      <c r="H14" s="92"/>
      <c r="I14" s="8"/>
      <c r="K14" s="88"/>
      <c r="L14" s="88"/>
      <c r="M14" s="88"/>
      <c r="N14" s="88"/>
      <c r="O14" s="88"/>
    </row>
    <row r="15" spans="1:15">
      <c r="A15" s="7">
        <v>46036</v>
      </c>
      <c r="B15" s="5" t="s">
        <v>40</v>
      </c>
      <c r="C15" s="5">
        <v>4</v>
      </c>
      <c r="D15" s="5">
        <v>0</v>
      </c>
      <c r="E15" s="5">
        <v>0</v>
      </c>
      <c r="F15" s="5">
        <v>0</v>
      </c>
      <c r="G15" s="6">
        <f t="shared" si="0"/>
        <v>4</v>
      </c>
      <c r="H15" s="92"/>
      <c r="I15" s="8"/>
      <c r="K15" s="88"/>
      <c r="L15" s="88"/>
      <c r="M15" s="88"/>
      <c r="N15" s="88"/>
      <c r="O15" s="88"/>
    </row>
    <row r="16" spans="1:15">
      <c r="A16" s="7">
        <v>46037</v>
      </c>
      <c r="B16" s="5" t="s">
        <v>40</v>
      </c>
      <c r="C16" s="5">
        <v>5</v>
      </c>
      <c r="D16" s="5">
        <v>1</v>
      </c>
      <c r="E16" s="5">
        <v>0</v>
      </c>
      <c r="F16" s="5">
        <v>0</v>
      </c>
      <c r="G16" s="6">
        <f t="shared" si="0"/>
        <v>4</v>
      </c>
      <c r="H16" s="92"/>
      <c r="I16" s="8"/>
      <c r="K16" s="88"/>
      <c r="L16" s="88"/>
      <c r="M16" s="88"/>
      <c r="N16" s="88"/>
      <c r="O16" s="88"/>
    </row>
    <row r="17" spans="1:9">
      <c r="A17" s="7">
        <v>46038</v>
      </c>
      <c r="B17" s="5" t="s">
        <v>40</v>
      </c>
      <c r="C17" s="5">
        <v>4</v>
      </c>
      <c r="D17" s="5">
        <v>1</v>
      </c>
      <c r="E17" s="5">
        <v>0</v>
      </c>
      <c r="F17" s="5">
        <v>0</v>
      </c>
      <c r="G17" s="6">
        <f t="shared" si="0"/>
        <v>3</v>
      </c>
      <c r="H17" s="92"/>
      <c r="I17" s="8"/>
    </row>
    <row r="18" spans="1:9">
      <c r="A18" s="7">
        <v>46039</v>
      </c>
      <c r="B18" s="5" t="s">
        <v>40</v>
      </c>
      <c r="C18" s="5">
        <v>5</v>
      </c>
      <c r="D18" s="5">
        <v>1</v>
      </c>
      <c r="E18" s="5">
        <v>0</v>
      </c>
      <c r="F18" s="5">
        <v>0</v>
      </c>
      <c r="G18" s="6">
        <f t="shared" si="0"/>
        <v>4</v>
      </c>
      <c r="H18" s="92"/>
      <c r="I18" s="8"/>
    </row>
    <row r="19" spans="1:9">
      <c r="A19" s="7">
        <v>46040</v>
      </c>
      <c r="B19" s="5" t="s">
        <v>40</v>
      </c>
      <c r="C19" s="5">
        <v>1</v>
      </c>
      <c r="D19" s="5">
        <v>0</v>
      </c>
      <c r="E19" s="5">
        <v>0</v>
      </c>
      <c r="F19" s="5">
        <v>0</v>
      </c>
      <c r="G19" s="6">
        <f t="shared" si="0"/>
        <v>1</v>
      </c>
      <c r="H19" s="93"/>
      <c r="I19" s="8"/>
    </row>
    <row r="20" spans="1:9">
      <c r="A20" s="7">
        <v>46041</v>
      </c>
      <c r="B20" s="5" t="s">
        <v>40</v>
      </c>
      <c r="C20" s="5">
        <v>0</v>
      </c>
      <c r="D20" s="5">
        <v>1</v>
      </c>
      <c r="E20" s="5">
        <v>0</v>
      </c>
      <c r="F20" s="5">
        <v>0</v>
      </c>
      <c r="G20" s="6">
        <f t="shared" si="0"/>
        <v>-1</v>
      </c>
      <c r="H20" s="91">
        <f>SUM(G20:G26)</f>
        <v>20</v>
      </c>
      <c r="I20" s="8"/>
    </row>
    <row r="21" spans="1:9">
      <c r="A21" s="7">
        <v>46042</v>
      </c>
      <c r="B21" s="5" t="s">
        <v>40</v>
      </c>
      <c r="C21" s="5">
        <v>5</v>
      </c>
      <c r="D21" s="5">
        <v>1</v>
      </c>
      <c r="E21" s="5">
        <v>0</v>
      </c>
      <c r="F21" s="5">
        <v>0</v>
      </c>
      <c r="G21" s="6">
        <f t="shared" si="0"/>
        <v>4</v>
      </c>
      <c r="H21" s="92"/>
      <c r="I21" s="8"/>
    </row>
    <row r="22" spans="1:9">
      <c r="A22" s="7">
        <v>46043</v>
      </c>
      <c r="B22" s="5" t="s">
        <v>40</v>
      </c>
      <c r="C22" s="5">
        <v>4</v>
      </c>
      <c r="D22" s="5">
        <v>0</v>
      </c>
      <c r="E22" s="5">
        <v>0</v>
      </c>
      <c r="F22" s="5">
        <v>0</v>
      </c>
      <c r="G22" s="6">
        <f t="shared" si="0"/>
        <v>4</v>
      </c>
      <c r="H22" s="92"/>
      <c r="I22" s="8"/>
    </row>
    <row r="23" spans="1:9">
      <c r="A23" s="7">
        <v>46044</v>
      </c>
      <c r="B23" s="5" t="s">
        <v>40</v>
      </c>
      <c r="C23" s="5">
        <v>7</v>
      </c>
      <c r="D23" s="5">
        <v>2</v>
      </c>
      <c r="E23" s="5">
        <v>0</v>
      </c>
      <c r="F23" s="5">
        <v>0</v>
      </c>
      <c r="G23" s="6">
        <f t="shared" si="0"/>
        <v>5</v>
      </c>
      <c r="H23" s="92"/>
      <c r="I23" s="8"/>
    </row>
    <row r="24" spans="1:9">
      <c r="A24" s="7">
        <v>46045</v>
      </c>
      <c r="B24" s="5" t="s">
        <v>40</v>
      </c>
      <c r="C24" s="5">
        <v>2</v>
      </c>
      <c r="D24" s="5">
        <v>1</v>
      </c>
      <c r="E24" s="5">
        <v>0</v>
      </c>
      <c r="F24" s="5">
        <v>0</v>
      </c>
      <c r="G24" s="6">
        <f t="shared" si="0"/>
        <v>1</v>
      </c>
      <c r="H24" s="92"/>
      <c r="I24" s="8"/>
    </row>
    <row r="25" spans="1:9">
      <c r="A25" s="7">
        <v>46046</v>
      </c>
      <c r="B25" s="5" t="s">
        <v>40</v>
      </c>
      <c r="C25" s="5">
        <v>4</v>
      </c>
      <c r="D25" s="5">
        <v>0</v>
      </c>
      <c r="E25" s="5">
        <v>0</v>
      </c>
      <c r="F25" s="5">
        <v>0</v>
      </c>
      <c r="G25" s="6">
        <f t="shared" si="0"/>
        <v>4</v>
      </c>
      <c r="H25" s="92"/>
      <c r="I25" s="8"/>
    </row>
    <row r="26" spans="1:9">
      <c r="A26" s="7">
        <v>46047</v>
      </c>
      <c r="B26" s="5" t="s">
        <v>40</v>
      </c>
      <c r="C26" s="5">
        <v>4</v>
      </c>
      <c r="D26" s="5">
        <v>1</v>
      </c>
      <c r="E26" s="5">
        <v>0</v>
      </c>
      <c r="F26" s="5">
        <v>0</v>
      </c>
      <c r="G26" s="6">
        <f t="shared" si="0"/>
        <v>3</v>
      </c>
      <c r="H26" s="93"/>
      <c r="I26" s="8"/>
    </row>
    <row r="27" spans="1:9">
      <c r="A27" s="7">
        <v>46048</v>
      </c>
      <c r="B27" s="5" t="s">
        <v>40</v>
      </c>
      <c r="C27" s="5">
        <v>3</v>
      </c>
      <c r="D27" s="5">
        <v>1</v>
      </c>
      <c r="E27" s="5">
        <v>0</v>
      </c>
      <c r="F27" s="5">
        <v>0</v>
      </c>
      <c r="G27" s="6">
        <f t="shared" si="0"/>
        <v>2</v>
      </c>
      <c r="H27" s="91">
        <f>SUM(G27:G33)</f>
        <v>286</v>
      </c>
      <c r="I27" s="8"/>
    </row>
    <row r="28" spans="1:9">
      <c r="A28" s="7">
        <v>46049</v>
      </c>
      <c r="B28" s="5" t="s">
        <v>40</v>
      </c>
      <c r="C28" s="5">
        <v>2</v>
      </c>
      <c r="D28" s="5">
        <v>1</v>
      </c>
      <c r="E28" s="5">
        <v>1</v>
      </c>
      <c r="F28" s="5">
        <v>0</v>
      </c>
      <c r="G28" s="6">
        <f t="shared" si="0"/>
        <v>2</v>
      </c>
      <c r="H28" s="92"/>
      <c r="I28" s="8"/>
    </row>
    <row r="29" spans="1:9">
      <c r="A29" s="7">
        <v>46050</v>
      </c>
      <c r="B29" s="5" t="s">
        <v>40</v>
      </c>
      <c r="C29" s="5">
        <v>119</v>
      </c>
      <c r="D29" s="5">
        <v>4</v>
      </c>
      <c r="E29" s="5">
        <v>0</v>
      </c>
      <c r="F29" s="5">
        <v>0</v>
      </c>
      <c r="G29" s="6">
        <f t="shared" si="0"/>
        <v>115</v>
      </c>
      <c r="H29" s="92"/>
      <c r="I29" s="8"/>
    </row>
    <row r="30" spans="1:9">
      <c r="A30" s="7">
        <v>46051</v>
      </c>
      <c r="B30" s="5" t="s">
        <v>40</v>
      </c>
      <c r="C30" s="5">
        <v>101</v>
      </c>
      <c r="D30" s="5">
        <v>2</v>
      </c>
      <c r="E30" s="5">
        <v>0</v>
      </c>
      <c r="F30" s="5">
        <v>0</v>
      </c>
      <c r="G30" s="6">
        <f t="shared" si="0"/>
        <v>99</v>
      </c>
      <c r="H30" s="92"/>
      <c r="I30" s="8"/>
    </row>
    <row r="31" spans="1:9">
      <c r="A31" s="7">
        <v>46052</v>
      </c>
      <c r="B31" s="5" t="s">
        <v>40</v>
      </c>
      <c r="C31" s="5">
        <v>27</v>
      </c>
      <c r="D31" s="5">
        <v>0</v>
      </c>
      <c r="E31" s="5">
        <v>0</v>
      </c>
      <c r="F31" s="5">
        <v>0</v>
      </c>
      <c r="G31" s="6">
        <f t="shared" si="0"/>
        <v>27</v>
      </c>
      <c r="H31" s="92"/>
      <c r="I31" s="8"/>
    </row>
    <row r="32" spans="1:9">
      <c r="A32" s="7">
        <v>46053</v>
      </c>
      <c r="B32" s="5" t="s">
        <v>40</v>
      </c>
      <c r="C32" s="5">
        <v>25</v>
      </c>
      <c r="D32" s="5">
        <v>1</v>
      </c>
      <c r="E32" s="5">
        <v>0</v>
      </c>
      <c r="F32" s="5">
        <v>0</v>
      </c>
      <c r="G32" s="6">
        <f t="shared" si="0"/>
        <v>24</v>
      </c>
      <c r="H32" s="92"/>
      <c r="I32" s="8"/>
    </row>
    <row r="33" spans="1:9">
      <c r="A33" s="7">
        <v>46054</v>
      </c>
      <c r="B33" s="5" t="s">
        <v>40</v>
      </c>
      <c r="C33" s="5">
        <v>18</v>
      </c>
      <c r="D33" s="5">
        <v>1</v>
      </c>
      <c r="E33" s="5">
        <v>0</v>
      </c>
      <c r="F33" s="5">
        <v>0</v>
      </c>
      <c r="G33" s="6">
        <f t="shared" si="0"/>
        <v>17</v>
      </c>
      <c r="H33" s="93"/>
      <c r="I33" s="8"/>
    </row>
    <row r="34" spans="1:9">
      <c r="A34" s="7">
        <v>46055</v>
      </c>
      <c r="B34" s="5" t="s">
        <v>40</v>
      </c>
      <c r="C34" s="5">
        <v>29</v>
      </c>
      <c r="D34" s="5">
        <v>0</v>
      </c>
      <c r="E34" s="5">
        <v>0</v>
      </c>
      <c r="F34" s="5">
        <v>0</v>
      </c>
      <c r="G34" s="6">
        <f t="shared" si="0"/>
        <v>29</v>
      </c>
      <c r="H34" s="91">
        <f>SUM(G34:G40)</f>
        <v>90</v>
      </c>
      <c r="I34" s="8"/>
    </row>
    <row r="35" spans="1:9">
      <c r="A35" s="7">
        <v>46056</v>
      </c>
      <c r="B35" s="5" t="s">
        <v>40</v>
      </c>
      <c r="C35" s="5">
        <v>16</v>
      </c>
      <c r="D35" s="5">
        <v>1</v>
      </c>
      <c r="E35" s="5">
        <v>0</v>
      </c>
      <c r="F35" s="5">
        <v>0</v>
      </c>
      <c r="G35" s="6">
        <f t="shared" si="0"/>
        <v>15</v>
      </c>
      <c r="H35" s="92"/>
      <c r="I35" s="8"/>
    </row>
    <row r="36" spans="1:9">
      <c r="A36" s="7">
        <v>46057</v>
      </c>
      <c r="B36" s="5" t="s">
        <v>40</v>
      </c>
      <c r="C36" s="5">
        <v>13</v>
      </c>
      <c r="D36" s="5">
        <v>0</v>
      </c>
      <c r="E36" s="5">
        <v>0</v>
      </c>
      <c r="F36" s="5">
        <v>0</v>
      </c>
      <c r="G36" s="6">
        <f t="shared" si="0"/>
        <v>13</v>
      </c>
      <c r="H36" s="92"/>
      <c r="I36" s="8"/>
    </row>
    <row r="37" spans="1:9">
      <c r="A37" s="7">
        <v>46058</v>
      </c>
      <c r="B37" s="5" t="s">
        <v>40</v>
      </c>
      <c r="C37" s="5">
        <v>12</v>
      </c>
      <c r="D37" s="5">
        <v>0</v>
      </c>
      <c r="E37" s="5">
        <v>0</v>
      </c>
      <c r="F37" s="5">
        <v>0</v>
      </c>
      <c r="G37" s="6">
        <f t="shared" si="0"/>
        <v>12</v>
      </c>
      <c r="H37" s="92"/>
      <c r="I37" s="8"/>
    </row>
    <row r="38" spans="1:9">
      <c r="A38" s="7">
        <v>46059</v>
      </c>
      <c r="B38" s="5" t="s">
        <v>40</v>
      </c>
      <c r="C38" s="5">
        <v>5</v>
      </c>
      <c r="D38" s="5">
        <v>3</v>
      </c>
      <c r="E38" s="5">
        <v>0</v>
      </c>
      <c r="F38" s="5">
        <v>0</v>
      </c>
      <c r="G38" s="6">
        <f t="shared" si="0"/>
        <v>2</v>
      </c>
      <c r="H38" s="92"/>
      <c r="I38" s="8"/>
    </row>
    <row r="39" spans="1:9">
      <c r="A39" s="7">
        <v>46060</v>
      </c>
      <c r="B39" s="5" t="s">
        <v>40</v>
      </c>
      <c r="C39" s="5">
        <v>9</v>
      </c>
      <c r="D39" s="5">
        <v>2</v>
      </c>
      <c r="E39" s="5">
        <v>0</v>
      </c>
      <c r="F39" s="5">
        <v>0</v>
      </c>
      <c r="G39" s="6">
        <f t="shared" si="0"/>
        <v>7</v>
      </c>
      <c r="H39" s="92"/>
      <c r="I39" s="8"/>
    </row>
    <row r="40" spans="1:9">
      <c r="A40" s="7">
        <v>46061</v>
      </c>
      <c r="B40" s="5" t="s">
        <v>40</v>
      </c>
      <c r="C40" s="5">
        <v>13</v>
      </c>
      <c r="D40" s="5">
        <v>1</v>
      </c>
      <c r="E40" s="5">
        <v>0</v>
      </c>
      <c r="F40" s="5">
        <v>0</v>
      </c>
      <c r="G40" s="6">
        <f t="shared" si="0"/>
        <v>12</v>
      </c>
      <c r="H40" s="93"/>
      <c r="I40" s="8"/>
    </row>
    <row r="41" spans="1:9">
      <c r="A41" s="7">
        <v>46062</v>
      </c>
      <c r="B41" s="5" t="s">
        <v>40</v>
      </c>
      <c r="C41" s="5">
        <v>9</v>
      </c>
      <c r="D41" s="5">
        <v>0</v>
      </c>
      <c r="E41" s="5">
        <v>0</v>
      </c>
      <c r="F41" s="5">
        <v>0</v>
      </c>
      <c r="G41" s="6">
        <f t="shared" si="0"/>
        <v>9</v>
      </c>
      <c r="H41" s="91">
        <f>SUM(G41:G47)</f>
        <v>132</v>
      </c>
      <c r="I41" s="8"/>
    </row>
    <row r="42" spans="1:9">
      <c r="A42" s="7">
        <v>46063</v>
      </c>
      <c r="B42" s="5" t="s">
        <v>40</v>
      </c>
      <c r="C42" s="5">
        <v>6</v>
      </c>
      <c r="D42" s="5">
        <v>0</v>
      </c>
      <c r="E42" s="5">
        <v>0</v>
      </c>
      <c r="F42" s="5">
        <v>0</v>
      </c>
      <c r="G42" s="6">
        <f t="shared" si="0"/>
        <v>6</v>
      </c>
      <c r="H42" s="92"/>
      <c r="I42" s="8"/>
    </row>
    <row r="43" spans="1:9">
      <c r="A43" s="7">
        <v>46064</v>
      </c>
      <c r="B43" s="5" t="s">
        <v>40</v>
      </c>
      <c r="C43" s="5">
        <v>33</v>
      </c>
      <c r="D43" s="5">
        <v>0</v>
      </c>
      <c r="E43" s="5">
        <v>0</v>
      </c>
      <c r="F43" s="5">
        <v>0</v>
      </c>
      <c r="G43" s="6">
        <f t="shared" si="0"/>
        <v>33</v>
      </c>
      <c r="H43" s="92"/>
      <c r="I43" s="8"/>
    </row>
    <row r="44" spans="1:9">
      <c r="A44" s="7">
        <v>46065</v>
      </c>
      <c r="B44" s="5" t="s">
        <v>40</v>
      </c>
      <c r="C44" s="5">
        <v>19</v>
      </c>
      <c r="D44" s="5">
        <v>1</v>
      </c>
      <c r="E44" s="5">
        <v>0</v>
      </c>
      <c r="F44" s="5">
        <v>0</v>
      </c>
      <c r="G44" s="6">
        <f t="shared" si="0"/>
        <v>18</v>
      </c>
      <c r="H44" s="92"/>
      <c r="I44" s="8"/>
    </row>
    <row r="45" spans="1:9">
      <c r="A45" s="7">
        <v>46066</v>
      </c>
      <c r="B45" s="5" t="s">
        <v>40</v>
      </c>
      <c r="C45" s="5">
        <v>12</v>
      </c>
      <c r="D45" s="5">
        <v>3</v>
      </c>
      <c r="E45" s="5">
        <v>0</v>
      </c>
      <c r="F45" s="5">
        <v>0</v>
      </c>
      <c r="G45" s="6">
        <f t="shared" si="0"/>
        <v>9</v>
      </c>
      <c r="H45" s="92"/>
      <c r="I45" s="8"/>
    </row>
    <row r="46" spans="1:9">
      <c r="A46" s="7">
        <v>46067</v>
      </c>
      <c r="B46" s="5" t="s">
        <v>40</v>
      </c>
      <c r="C46" s="5">
        <v>31</v>
      </c>
      <c r="D46" s="5">
        <v>2</v>
      </c>
      <c r="E46" s="5">
        <v>0</v>
      </c>
      <c r="F46" s="5">
        <v>0</v>
      </c>
      <c r="G46" s="6">
        <f t="shared" si="0"/>
        <v>29</v>
      </c>
      <c r="H46" s="92"/>
      <c r="I46" s="8"/>
    </row>
    <row r="47" spans="1:9">
      <c r="A47" s="7">
        <v>46068</v>
      </c>
      <c r="B47" s="5" t="s">
        <v>40</v>
      </c>
      <c r="C47" s="5">
        <v>28</v>
      </c>
      <c r="D47" s="5">
        <v>0</v>
      </c>
      <c r="E47" s="5">
        <v>0</v>
      </c>
      <c r="F47" s="5">
        <v>0</v>
      </c>
      <c r="G47" s="6">
        <f t="shared" si="0"/>
        <v>28</v>
      </c>
      <c r="H47" s="93"/>
      <c r="I47" s="8"/>
    </row>
    <row r="48" spans="1:9">
      <c r="A48" s="7">
        <v>46069</v>
      </c>
      <c r="B48" s="5" t="s">
        <v>40</v>
      </c>
      <c r="C48" s="5">
        <v>10</v>
      </c>
      <c r="D48" s="5">
        <v>2</v>
      </c>
      <c r="E48" s="5">
        <v>0</v>
      </c>
      <c r="F48" s="5">
        <v>0</v>
      </c>
      <c r="G48" s="6">
        <f t="shared" si="0"/>
        <v>8</v>
      </c>
      <c r="H48" s="91">
        <f>SUM(G48:G54)</f>
        <v>54</v>
      </c>
      <c r="I48" s="8"/>
    </row>
    <row r="49" spans="1:9">
      <c r="A49" s="7">
        <v>46070</v>
      </c>
      <c r="B49" s="5" t="s">
        <v>40</v>
      </c>
      <c r="C49" s="5">
        <v>8</v>
      </c>
      <c r="D49" s="5">
        <v>0</v>
      </c>
      <c r="E49" s="5">
        <v>0</v>
      </c>
      <c r="F49" s="5">
        <v>0</v>
      </c>
      <c r="G49" s="6">
        <f t="shared" si="0"/>
        <v>8</v>
      </c>
      <c r="H49" s="92"/>
      <c r="I49" s="8"/>
    </row>
    <row r="50" spans="1:9">
      <c r="A50" s="7">
        <v>46071</v>
      </c>
      <c r="B50" s="5" t="s">
        <v>40</v>
      </c>
      <c r="C50" s="5">
        <v>9</v>
      </c>
      <c r="D50" s="5">
        <v>2</v>
      </c>
      <c r="E50" s="5">
        <v>0</v>
      </c>
      <c r="F50" s="5">
        <v>0</v>
      </c>
      <c r="G50" s="6">
        <f t="shared" si="0"/>
        <v>7</v>
      </c>
      <c r="H50" s="92"/>
      <c r="I50" s="8"/>
    </row>
    <row r="51" spans="1:9">
      <c r="A51" s="7">
        <v>46072</v>
      </c>
      <c r="B51" s="5" t="s">
        <v>40</v>
      </c>
      <c r="C51" s="5">
        <v>7</v>
      </c>
      <c r="D51" s="5">
        <v>0</v>
      </c>
      <c r="E51" s="5">
        <v>0</v>
      </c>
      <c r="F51" s="5">
        <v>0</v>
      </c>
      <c r="G51" s="6">
        <f t="shared" si="0"/>
        <v>7</v>
      </c>
      <c r="H51" s="92"/>
      <c r="I51" s="8"/>
    </row>
    <row r="52" spans="1:9">
      <c r="A52" s="7">
        <v>46073</v>
      </c>
      <c r="B52" s="5" t="s">
        <v>40</v>
      </c>
      <c r="C52" s="5">
        <v>8</v>
      </c>
      <c r="D52" s="5">
        <v>1</v>
      </c>
      <c r="E52" s="5">
        <v>0</v>
      </c>
      <c r="F52" s="5">
        <v>0</v>
      </c>
      <c r="G52" s="6">
        <f t="shared" si="0"/>
        <v>7</v>
      </c>
      <c r="H52" s="92"/>
      <c r="I52" s="8"/>
    </row>
    <row r="53" spans="1:9">
      <c r="A53" s="7">
        <v>46074</v>
      </c>
      <c r="B53" s="5" t="s">
        <v>40</v>
      </c>
      <c r="C53" s="5">
        <v>10</v>
      </c>
      <c r="D53" s="5">
        <v>1</v>
      </c>
      <c r="E53" s="5">
        <v>0</v>
      </c>
      <c r="F53" s="5">
        <v>0</v>
      </c>
      <c r="G53" s="6">
        <f t="shared" si="0"/>
        <v>9</v>
      </c>
      <c r="H53" s="92"/>
      <c r="I53" s="8"/>
    </row>
    <row r="54" spans="1:9">
      <c r="A54" s="7">
        <v>46075</v>
      </c>
      <c r="B54" s="5" t="s">
        <v>40</v>
      </c>
      <c r="C54" s="5">
        <v>8</v>
      </c>
      <c r="D54" s="5">
        <v>0</v>
      </c>
      <c r="E54" s="5">
        <v>0</v>
      </c>
      <c r="F54" s="5">
        <v>0</v>
      </c>
      <c r="G54" s="6">
        <f t="shared" si="0"/>
        <v>8</v>
      </c>
      <c r="H54" s="93"/>
      <c r="I54" s="8"/>
    </row>
    <row r="55" spans="1:9">
      <c r="A55" s="7">
        <v>46076</v>
      </c>
      <c r="B55" s="5" t="s">
        <v>40</v>
      </c>
      <c r="C55" s="5">
        <v>11</v>
      </c>
      <c r="D55" s="5">
        <v>0</v>
      </c>
      <c r="E55" s="5">
        <v>0</v>
      </c>
      <c r="F55" s="5">
        <v>0</v>
      </c>
      <c r="G55" s="6">
        <f t="shared" si="0"/>
        <v>11</v>
      </c>
      <c r="H55" s="91">
        <f>SUM(G55:G61)</f>
        <v>89</v>
      </c>
      <c r="I55" s="8"/>
    </row>
    <row r="56" spans="1:9">
      <c r="A56" s="7">
        <v>46077</v>
      </c>
      <c r="B56" s="5" t="s">
        <v>40</v>
      </c>
      <c r="C56" s="5">
        <v>30</v>
      </c>
      <c r="D56" s="5">
        <v>2</v>
      </c>
      <c r="E56" s="5">
        <v>0</v>
      </c>
      <c r="F56" s="5">
        <v>0</v>
      </c>
      <c r="G56" s="6">
        <f t="shared" si="0"/>
        <v>28</v>
      </c>
      <c r="H56" s="92"/>
      <c r="I56" s="8"/>
    </row>
    <row r="57" spans="1:9">
      <c r="A57" s="7">
        <v>46078</v>
      </c>
      <c r="B57" s="5" t="s">
        <v>40</v>
      </c>
      <c r="C57" s="5">
        <v>12</v>
      </c>
      <c r="D57" s="5">
        <v>1</v>
      </c>
      <c r="E57" s="5">
        <v>0</v>
      </c>
      <c r="F57" s="5">
        <v>0</v>
      </c>
      <c r="G57" s="6">
        <f t="shared" si="0"/>
        <v>11</v>
      </c>
      <c r="H57" s="92"/>
      <c r="I57" s="8"/>
    </row>
    <row r="58" spans="1:9">
      <c r="A58" s="7">
        <v>46079</v>
      </c>
      <c r="B58" s="5" t="s">
        <v>40</v>
      </c>
      <c r="C58" s="5">
        <v>13</v>
      </c>
      <c r="D58" s="5">
        <v>2</v>
      </c>
      <c r="E58" s="5">
        <v>0</v>
      </c>
      <c r="F58" s="5">
        <v>0</v>
      </c>
      <c r="G58" s="6">
        <f t="shared" si="0"/>
        <v>11</v>
      </c>
      <c r="H58" s="92"/>
      <c r="I58" s="8"/>
    </row>
    <row r="59" spans="1:9">
      <c r="A59" s="7">
        <v>46080</v>
      </c>
      <c r="B59" s="5" t="s">
        <v>40</v>
      </c>
      <c r="C59" s="5">
        <v>16</v>
      </c>
      <c r="D59" s="5">
        <v>1</v>
      </c>
      <c r="E59" s="5">
        <v>0</v>
      </c>
      <c r="F59" s="5">
        <v>0</v>
      </c>
      <c r="G59" s="6">
        <f t="shared" si="0"/>
        <v>15</v>
      </c>
      <c r="H59" s="92"/>
      <c r="I59" s="8"/>
    </row>
    <row r="60" spans="1:9">
      <c r="A60" s="7">
        <v>46081</v>
      </c>
      <c r="B60" s="5" t="s">
        <v>40</v>
      </c>
      <c r="C60" s="5">
        <v>8</v>
      </c>
      <c r="D60" s="5">
        <v>2</v>
      </c>
      <c r="E60" s="5">
        <v>0</v>
      </c>
      <c r="F60" s="5">
        <v>0</v>
      </c>
      <c r="G60" s="6">
        <f t="shared" si="0"/>
        <v>6</v>
      </c>
      <c r="H60" s="92"/>
      <c r="I60" s="8"/>
    </row>
    <row r="61" spans="1:9">
      <c r="A61" s="7">
        <v>46082</v>
      </c>
      <c r="B61" s="5" t="s">
        <v>40</v>
      </c>
      <c r="C61" s="5">
        <v>10</v>
      </c>
      <c r="D61" s="5">
        <v>3</v>
      </c>
      <c r="E61" s="5">
        <v>0</v>
      </c>
      <c r="F61" s="5">
        <v>0</v>
      </c>
      <c r="G61" s="6">
        <f t="shared" si="0"/>
        <v>7</v>
      </c>
      <c r="H61" s="93"/>
      <c r="I61" s="8"/>
    </row>
    <row r="62" spans="1:9">
      <c r="A62" s="7">
        <v>46083</v>
      </c>
      <c r="B62" s="5" t="s">
        <v>40</v>
      </c>
      <c r="C62" s="5">
        <v>4</v>
      </c>
      <c r="D62" s="5">
        <v>1</v>
      </c>
      <c r="E62" s="5">
        <v>0</v>
      </c>
      <c r="F62" s="5">
        <v>0</v>
      </c>
      <c r="G62" s="6">
        <f t="shared" si="0"/>
        <v>3</v>
      </c>
      <c r="H62" s="91">
        <f>SUM(G62:G68)</f>
        <v>69</v>
      </c>
      <c r="I62" s="8"/>
    </row>
    <row r="63" spans="1:9">
      <c r="A63" s="7">
        <v>46084</v>
      </c>
      <c r="B63" s="5" t="s">
        <v>40</v>
      </c>
      <c r="C63" s="5">
        <v>6</v>
      </c>
      <c r="D63" s="5">
        <v>1</v>
      </c>
      <c r="E63" s="5">
        <v>0</v>
      </c>
      <c r="F63" s="5">
        <v>0</v>
      </c>
      <c r="G63" s="6">
        <f t="shared" si="0"/>
        <v>5</v>
      </c>
      <c r="H63" s="92"/>
      <c r="I63" s="8"/>
    </row>
    <row r="64" spans="1:9">
      <c r="A64" s="7">
        <v>46085</v>
      </c>
      <c r="B64" s="5" t="s">
        <v>40</v>
      </c>
      <c r="C64" s="5">
        <v>33</v>
      </c>
      <c r="D64" s="5">
        <v>0</v>
      </c>
      <c r="E64" s="5">
        <v>0</v>
      </c>
      <c r="F64" s="5">
        <v>0</v>
      </c>
      <c r="G64" s="6">
        <f t="shared" si="0"/>
        <v>33</v>
      </c>
      <c r="H64" s="92"/>
      <c r="I64" s="8"/>
    </row>
    <row r="65" spans="1:9">
      <c r="A65" s="7">
        <v>46086</v>
      </c>
      <c r="B65" s="5" t="s">
        <v>40</v>
      </c>
      <c r="C65" s="5">
        <v>10</v>
      </c>
      <c r="D65" s="5">
        <v>1</v>
      </c>
      <c r="E65" s="5">
        <v>0</v>
      </c>
      <c r="F65" s="5">
        <v>0</v>
      </c>
      <c r="G65" s="6">
        <f t="shared" si="0"/>
        <v>9</v>
      </c>
      <c r="H65" s="92"/>
      <c r="I65" s="8"/>
    </row>
    <row r="66" spans="1:9">
      <c r="A66" s="7">
        <v>46087</v>
      </c>
      <c r="B66" s="5" t="s">
        <v>40</v>
      </c>
      <c r="C66" s="5">
        <v>6</v>
      </c>
      <c r="D66" s="5">
        <v>2</v>
      </c>
      <c r="E66" s="5">
        <v>0</v>
      </c>
      <c r="F66" s="5">
        <v>0</v>
      </c>
      <c r="G66" s="6">
        <f t="shared" si="0"/>
        <v>4</v>
      </c>
      <c r="H66" s="92"/>
      <c r="I66" s="8"/>
    </row>
    <row r="67" spans="1:9">
      <c r="A67" s="7">
        <v>46088</v>
      </c>
      <c r="B67" s="5" t="s">
        <v>40</v>
      </c>
      <c r="C67" s="5">
        <v>6</v>
      </c>
      <c r="D67" s="5">
        <v>1</v>
      </c>
      <c r="E67" s="5">
        <v>0</v>
      </c>
      <c r="F67" s="5">
        <v>0</v>
      </c>
      <c r="G67" s="6">
        <f t="shared" ref="G67:G130" si="1">SUM(F67,E67,C67-D67)</f>
        <v>5</v>
      </c>
      <c r="H67" s="92"/>
      <c r="I67" s="8"/>
    </row>
    <row r="68" spans="1:9">
      <c r="A68" s="7">
        <v>46089</v>
      </c>
      <c r="B68" s="5" t="s">
        <v>40</v>
      </c>
      <c r="C68" s="5">
        <v>11</v>
      </c>
      <c r="D68" s="5">
        <v>1</v>
      </c>
      <c r="E68" s="5">
        <v>0</v>
      </c>
      <c r="F68" s="5">
        <v>0</v>
      </c>
      <c r="G68" s="6">
        <f t="shared" si="1"/>
        <v>10</v>
      </c>
      <c r="H68" s="93"/>
      <c r="I68" s="8"/>
    </row>
    <row r="69" spans="1:9">
      <c r="A69" s="7">
        <v>46090</v>
      </c>
      <c r="B69" s="5" t="s">
        <v>40</v>
      </c>
      <c r="C69" s="5">
        <v>2</v>
      </c>
      <c r="D69" s="5">
        <v>2</v>
      </c>
      <c r="E69" s="5">
        <v>0</v>
      </c>
      <c r="F69" s="5">
        <v>0</v>
      </c>
      <c r="G69" s="6">
        <f t="shared" si="1"/>
        <v>0</v>
      </c>
      <c r="H69" s="91">
        <f>SUM(G69:G75)</f>
        <v>95</v>
      </c>
      <c r="I69" s="8"/>
    </row>
    <row r="70" spans="1:9">
      <c r="A70" s="7">
        <v>46091</v>
      </c>
      <c r="B70" s="5" t="s">
        <v>40</v>
      </c>
      <c r="C70" s="5">
        <v>6</v>
      </c>
      <c r="D70" s="5">
        <v>1</v>
      </c>
      <c r="E70" s="5">
        <v>0</v>
      </c>
      <c r="F70" s="5">
        <v>0</v>
      </c>
      <c r="G70" s="6">
        <f t="shared" si="1"/>
        <v>5</v>
      </c>
      <c r="H70" s="92"/>
      <c r="I70" s="8"/>
    </row>
    <row r="71" spans="1:9">
      <c r="A71" s="7">
        <v>46092</v>
      </c>
      <c r="B71" s="5" t="s">
        <v>40</v>
      </c>
      <c r="C71" s="5">
        <v>2</v>
      </c>
      <c r="D71" s="5">
        <v>1</v>
      </c>
      <c r="E71" s="5">
        <v>0</v>
      </c>
      <c r="F71" s="5">
        <v>0</v>
      </c>
      <c r="G71" s="6">
        <f t="shared" si="1"/>
        <v>1</v>
      </c>
      <c r="H71" s="92"/>
      <c r="I71" s="8"/>
    </row>
    <row r="72" spans="1:9">
      <c r="A72" s="7">
        <v>46093</v>
      </c>
      <c r="B72" s="5" t="s">
        <v>40</v>
      </c>
      <c r="C72" s="5">
        <v>30</v>
      </c>
      <c r="D72" s="5">
        <v>1</v>
      </c>
      <c r="E72" s="5">
        <v>0</v>
      </c>
      <c r="F72" s="5">
        <v>0</v>
      </c>
      <c r="G72" s="6">
        <f t="shared" si="1"/>
        <v>29</v>
      </c>
      <c r="H72" s="92"/>
      <c r="I72" s="8"/>
    </row>
    <row r="73" spans="1:9">
      <c r="A73" s="7">
        <v>46094</v>
      </c>
      <c r="B73" s="5" t="s">
        <v>40</v>
      </c>
      <c r="C73" s="5">
        <v>32</v>
      </c>
      <c r="D73" s="5">
        <v>3</v>
      </c>
      <c r="E73" s="5">
        <v>0</v>
      </c>
      <c r="F73" s="5">
        <v>0</v>
      </c>
      <c r="G73" s="6">
        <f t="shared" si="1"/>
        <v>29</v>
      </c>
      <c r="H73" s="92"/>
      <c r="I73" s="8"/>
    </row>
    <row r="74" spans="1:9">
      <c r="A74" s="7">
        <v>46095</v>
      </c>
      <c r="B74" s="5" t="s">
        <v>40</v>
      </c>
      <c r="C74" s="5">
        <v>16</v>
      </c>
      <c r="D74" s="5">
        <v>0</v>
      </c>
      <c r="E74" s="5">
        <v>0</v>
      </c>
      <c r="F74" s="5">
        <v>0</v>
      </c>
      <c r="G74" s="6">
        <f t="shared" si="1"/>
        <v>16</v>
      </c>
      <c r="H74" s="92"/>
      <c r="I74" s="8"/>
    </row>
    <row r="75" spans="1:9">
      <c r="A75" s="7">
        <v>46096</v>
      </c>
      <c r="B75" s="5" t="s">
        <v>40</v>
      </c>
      <c r="C75" s="5">
        <v>17</v>
      </c>
      <c r="D75" s="5">
        <v>2</v>
      </c>
      <c r="E75" s="5">
        <v>0</v>
      </c>
      <c r="F75" s="5">
        <v>0</v>
      </c>
      <c r="G75" s="6">
        <f t="shared" si="1"/>
        <v>15</v>
      </c>
      <c r="H75" s="93"/>
      <c r="I75" s="8"/>
    </row>
    <row r="76" spans="1:9">
      <c r="A76" s="7">
        <v>46097</v>
      </c>
      <c r="B76" s="5" t="s">
        <v>40</v>
      </c>
      <c r="C76" s="5">
        <v>19</v>
      </c>
      <c r="D76" s="5">
        <v>2</v>
      </c>
      <c r="E76" s="5">
        <v>0</v>
      </c>
      <c r="F76" s="5">
        <v>0</v>
      </c>
      <c r="G76" s="6">
        <f t="shared" si="1"/>
        <v>17</v>
      </c>
      <c r="H76" s="91">
        <f>SUM(G76:G82)</f>
        <v>218</v>
      </c>
      <c r="I76" s="8"/>
    </row>
    <row r="77" spans="1:9">
      <c r="A77" s="7">
        <v>46098</v>
      </c>
      <c r="B77" s="5" t="s">
        <v>40</v>
      </c>
      <c r="C77" s="5">
        <v>21</v>
      </c>
      <c r="D77" s="5">
        <v>2</v>
      </c>
      <c r="E77" s="5">
        <v>0</v>
      </c>
      <c r="F77" s="5">
        <v>0</v>
      </c>
      <c r="G77" s="6">
        <f t="shared" si="1"/>
        <v>19</v>
      </c>
      <c r="H77" s="92"/>
      <c r="I77" s="8"/>
    </row>
    <row r="78" spans="1:9">
      <c r="A78" s="7">
        <v>46099</v>
      </c>
      <c r="B78" s="5" t="s">
        <v>40</v>
      </c>
      <c r="C78" s="5">
        <v>10</v>
      </c>
      <c r="D78" s="5">
        <v>4</v>
      </c>
      <c r="E78" s="5">
        <v>0</v>
      </c>
      <c r="F78" s="5">
        <v>0</v>
      </c>
      <c r="G78" s="6">
        <f t="shared" si="1"/>
        <v>6</v>
      </c>
      <c r="H78" s="92"/>
      <c r="I78" s="8"/>
    </row>
    <row r="79" spans="1:9">
      <c r="A79" s="7">
        <v>46100</v>
      </c>
      <c r="B79" s="5" t="s">
        <v>40</v>
      </c>
      <c r="C79" s="5">
        <v>22</v>
      </c>
      <c r="D79" s="5">
        <v>2</v>
      </c>
      <c r="E79" s="5">
        <v>0</v>
      </c>
      <c r="F79" s="5">
        <v>0</v>
      </c>
      <c r="G79" s="6">
        <f t="shared" si="1"/>
        <v>20</v>
      </c>
      <c r="H79" s="92"/>
      <c r="I79" s="8"/>
    </row>
    <row r="80" spans="1:9">
      <c r="A80" s="7">
        <v>46101</v>
      </c>
      <c r="B80" s="5" t="s">
        <v>40</v>
      </c>
      <c r="C80" s="5">
        <v>15</v>
      </c>
      <c r="D80" s="5">
        <v>3</v>
      </c>
      <c r="E80" s="5">
        <v>0</v>
      </c>
      <c r="F80" s="5">
        <v>0</v>
      </c>
      <c r="G80" s="6">
        <f t="shared" si="1"/>
        <v>12</v>
      </c>
      <c r="H80" s="92"/>
      <c r="I80" s="8"/>
    </row>
    <row r="81" spans="1:9">
      <c r="A81" s="7">
        <v>46102</v>
      </c>
      <c r="B81" s="5" t="s">
        <v>40</v>
      </c>
      <c r="C81" s="5">
        <v>58</v>
      </c>
      <c r="D81" s="5">
        <v>4</v>
      </c>
      <c r="E81" s="5">
        <v>0</v>
      </c>
      <c r="F81" s="5">
        <v>0</v>
      </c>
      <c r="G81" s="6">
        <f t="shared" si="1"/>
        <v>54</v>
      </c>
      <c r="H81" s="92"/>
      <c r="I81" s="8"/>
    </row>
    <row r="82" spans="1:9">
      <c r="A82" s="7">
        <v>46103</v>
      </c>
      <c r="B82" s="5" t="s">
        <v>40</v>
      </c>
      <c r="C82" s="5">
        <v>97</v>
      </c>
      <c r="D82" s="5">
        <v>7</v>
      </c>
      <c r="E82" s="5">
        <v>0</v>
      </c>
      <c r="F82" s="5">
        <v>0</v>
      </c>
      <c r="G82" s="6">
        <f t="shared" si="1"/>
        <v>90</v>
      </c>
      <c r="H82" s="93"/>
      <c r="I82" s="8"/>
    </row>
    <row r="83" spans="1:9">
      <c r="A83" s="7">
        <v>46104</v>
      </c>
      <c r="B83" s="5" t="s">
        <v>40</v>
      </c>
      <c r="C83" s="5">
        <v>7</v>
      </c>
      <c r="D83" s="5">
        <v>1</v>
      </c>
      <c r="E83" s="5">
        <v>0</v>
      </c>
      <c r="F83" s="5">
        <v>0</v>
      </c>
      <c r="G83" s="6">
        <f t="shared" si="1"/>
        <v>6</v>
      </c>
      <c r="H83" s="91">
        <f>SUM(G83:G89)</f>
        <v>106</v>
      </c>
      <c r="I83" s="8"/>
    </row>
    <row r="84" spans="1:9">
      <c r="A84" s="7">
        <v>46105</v>
      </c>
      <c r="B84" s="5" t="s">
        <v>40</v>
      </c>
      <c r="C84" s="5">
        <v>16</v>
      </c>
      <c r="D84" s="5">
        <v>1</v>
      </c>
      <c r="E84" s="5">
        <v>0</v>
      </c>
      <c r="F84" s="5">
        <v>0</v>
      </c>
      <c r="G84" s="6">
        <f t="shared" si="1"/>
        <v>15</v>
      </c>
      <c r="H84" s="92"/>
      <c r="I84" s="8"/>
    </row>
    <row r="85" spans="1:9">
      <c r="A85" s="7">
        <v>46106</v>
      </c>
      <c r="B85" s="5" t="s">
        <v>40</v>
      </c>
      <c r="C85" s="5">
        <v>27</v>
      </c>
      <c r="D85" s="5">
        <v>4</v>
      </c>
      <c r="E85" s="5">
        <v>0</v>
      </c>
      <c r="F85" s="5">
        <v>0</v>
      </c>
      <c r="G85" s="6">
        <f t="shared" si="1"/>
        <v>23</v>
      </c>
      <c r="H85" s="92"/>
      <c r="I85" s="8"/>
    </row>
    <row r="86" spans="1:9">
      <c r="A86" s="7">
        <v>46107</v>
      </c>
      <c r="B86" s="5" t="s">
        <v>40</v>
      </c>
      <c r="C86" s="5">
        <v>16</v>
      </c>
      <c r="D86" s="5">
        <v>0</v>
      </c>
      <c r="E86" s="5">
        <v>0</v>
      </c>
      <c r="F86" s="5">
        <v>0</v>
      </c>
      <c r="G86" s="6">
        <f t="shared" si="1"/>
        <v>16</v>
      </c>
      <c r="H86" s="92"/>
      <c r="I86" s="8"/>
    </row>
    <row r="87" spans="1:9">
      <c r="A87" s="7">
        <v>46108</v>
      </c>
      <c r="B87" s="5" t="s">
        <v>40</v>
      </c>
      <c r="C87" s="5">
        <v>18</v>
      </c>
      <c r="D87" s="5">
        <v>3</v>
      </c>
      <c r="E87" s="5">
        <v>0</v>
      </c>
      <c r="F87" s="5">
        <v>0</v>
      </c>
      <c r="G87" s="6">
        <f t="shared" si="1"/>
        <v>15</v>
      </c>
      <c r="H87" s="92"/>
      <c r="I87" s="8"/>
    </row>
    <row r="88" spans="1:9">
      <c r="A88" s="7">
        <v>46109</v>
      </c>
      <c r="B88" s="5" t="s">
        <v>40</v>
      </c>
      <c r="C88" s="5">
        <v>15</v>
      </c>
      <c r="D88" s="5">
        <v>1</v>
      </c>
      <c r="E88" s="5">
        <v>0</v>
      </c>
      <c r="F88" s="5">
        <v>0</v>
      </c>
      <c r="G88" s="6">
        <f t="shared" si="1"/>
        <v>14</v>
      </c>
      <c r="H88" s="92"/>
      <c r="I88" s="8"/>
    </row>
    <row r="89" spans="1:9">
      <c r="A89" s="7">
        <v>46110</v>
      </c>
      <c r="B89" s="5" t="s">
        <v>40</v>
      </c>
      <c r="C89" s="5">
        <v>17</v>
      </c>
      <c r="D89" s="5">
        <v>0</v>
      </c>
      <c r="E89" s="5">
        <v>0</v>
      </c>
      <c r="F89" s="5">
        <v>0</v>
      </c>
      <c r="G89" s="6">
        <f t="shared" si="1"/>
        <v>17</v>
      </c>
      <c r="H89" s="93"/>
      <c r="I89" s="8"/>
    </row>
    <row r="90" spans="1:9">
      <c r="A90" s="7">
        <v>46111</v>
      </c>
      <c r="B90" s="5" t="s">
        <v>40</v>
      </c>
      <c r="C90" s="5">
        <v>9</v>
      </c>
      <c r="D90" s="5">
        <v>0</v>
      </c>
      <c r="E90" s="5">
        <v>0</v>
      </c>
      <c r="F90" s="5">
        <v>0</v>
      </c>
      <c r="G90" s="6">
        <f t="shared" si="1"/>
        <v>9</v>
      </c>
      <c r="H90" s="91">
        <f>SUM(G90:G96)</f>
        <v>83</v>
      </c>
      <c r="I90" s="8"/>
    </row>
    <row r="91" spans="1:9">
      <c r="A91" s="7">
        <v>46112</v>
      </c>
      <c r="B91" s="5" t="s">
        <v>40</v>
      </c>
      <c r="C91" s="5">
        <v>9</v>
      </c>
      <c r="D91" s="5">
        <v>1</v>
      </c>
      <c r="E91" s="5">
        <v>0</v>
      </c>
      <c r="F91" s="5">
        <v>0</v>
      </c>
      <c r="G91" s="6">
        <f t="shared" si="1"/>
        <v>8</v>
      </c>
      <c r="H91" s="92"/>
      <c r="I91" s="8"/>
    </row>
    <row r="92" spans="1:9">
      <c r="A92" s="7">
        <v>46113</v>
      </c>
      <c r="B92" s="5" t="s">
        <v>40</v>
      </c>
      <c r="C92" s="5">
        <v>11</v>
      </c>
      <c r="D92" s="5">
        <v>1</v>
      </c>
      <c r="E92" s="5">
        <v>0</v>
      </c>
      <c r="F92" s="5">
        <v>0</v>
      </c>
      <c r="G92" s="6">
        <f t="shared" si="1"/>
        <v>10</v>
      </c>
      <c r="H92" s="92"/>
      <c r="I92" s="8"/>
    </row>
    <row r="93" spans="1:9">
      <c r="A93" s="7">
        <v>46114</v>
      </c>
      <c r="B93" s="5" t="s">
        <v>40</v>
      </c>
      <c r="C93" s="5">
        <v>31</v>
      </c>
      <c r="D93" s="5">
        <v>5</v>
      </c>
      <c r="E93" s="5">
        <v>0</v>
      </c>
      <c r="F93" s="5">
        <v>0</v>
      </c>
      <c r="G93" s="6">
        <f t="shared" si="1"/>
        <v>26</v>
      </c>
      <c r="H93" s="92"/>
      <c r="I93" s="8"/>
    </row>
    <row r="94" spans="1:9">
      <c r="A94" s="7">
        <v>46115</v>
      </c>
      <c r="B94" s="5" t="s">
        <v>40</v>
      </c>
      <c r="C94" s="5">
        <v>14</v>
      </c>
      <c r="D94" s="5">
        <v>0</v>
      </c>
      <c r="E94" s="5">
        <v>0</v>
      </c>
      <c r="F94" s="5">
        <v>0</v>
      </c>
      <c r="G94" s="6">
        <f t="shared" si="1"/>
        <v>14</v>
      </c>
      <c r="H94" s="92"/>
      <c r="I94" s="8"/>
    </row>
    <row r="95" spans="1:9">
      <c r="A95" s="7">
        <v>46116</v>
      </c>
      <c r="B95" s="5" t="s">
        <v>40</v>
      </c>
      <c r="C95" s="5">
        <v>7</v>
      </c>
      <c r="D95" s="5">
        <v>1</v>
      </c>
      <c r="E95" s="5">
        <v>0</v>
      </c>
      <c r="F95" s="5">
        <v>0</v>
      </c>
      <c r="G95" s="6">
        <f t="shared" si="1"/>
        <v>6</v>
      </c>
      <c r="H95" s="92"/>
      <c r="I95" s="8"/>
    </row>
    <row r="96" spans="1:9">
      <c r="A96" s="7">
        <v>46117</v>
      </c>
      <c r="B96" s="5" t="s">
        <v>40</v>
      </c>
      <c r="C96" s="5">
        <v>11</v>
      </c>
      <c r="D96" s="5">
        <v>1</v>
      </c>
      <c r="E96" s="5">
        <v>0</v>
      </c>
      <c r="F96" s="5">
        <v>0</v>
      </c>
      <c r="G96" s="6">
        <f t="shared" si="1"/>
        <v>10</v>
      </c>
      <c r="H96" s="93"/>
      <c r="I96" s="8"/>
    </row>
    <row r="97" spans="1:9">
      <c r="A97" s="7">
        <v>46118</v>
      </c>
      <c r="B97" s="5" t="s">
        <v>40</v>
      </c>
      <c r="C97" s="5">
        <v>7</v>
      </c>
      <c r="D97" s="5">
        <v>2</v>
      </c>
      <c r="E97" s="5">
        <v>0</v>
      </c>
      <c r="F97" s="5">
        <v>0</v>
      </c>
      <c r="G97" s="6">
        <f t="shared" si="1"/>
        <v>5</v>
      </c>
      <c r="H97" s="91">
        <f>SUM(G97:G103)</f>
        <v>92</v>
      </c>
      <c r="I97" s="8"/>
    </row>
    <row r="98" spans="1:9">
      <c r="A98" s="7">
        <v>46119</v>
      </c>
      <c r="B98" s="5" t="s">
        <v>40</v>
      </c>
      <c r="C98" s="5">
        <v>10</v>
      </c>
      <c r="D98" s="5">
        <v>1</v>
      </c>
      <c r="E98" s="5">
        <v>0</v>
      </c>
      <c r="F98" s="5">
        <v>0</v>
      </c>
      <c r="G98" s="6">
        <f t="shared" si="1"/>
        <v>9</v>
      </c>
      <c r="H98" s="92"/>
      <c r="I98" s="8"/>
    </row>
    <row r="99" spans="1:9">
      <c r="A99" s="7">
        <v>46120</v>
      </c>
      <c r="B99" s="5" t="s">
        <v>40</v>
      </c>
      <c r="C99" s="5">
        <v>10</v>
      </c>
      <c r="D99" s="5">
        <v>0</v>
      </c>
      <c r="E99" s="5">
        <v>0</v>
      </c>
      <c r="F99" s="5">
        <v>0</v>
      </c>
      <c r="G99" s="6">
        <f t="shared" si="1"/>
        <v>10</v>
      </c>
      <c r="H99" s="92"/>
      <c r="I99" s="8"/>
    </row>
    <row r="100" spans="1:9">
      <c r="A100" s="7">
        <v>46121</v>
      </c>
      <c r="B100" s="5" t="s">
        <v>40</v>
      </c>
      <c r="C100" s="5">
        <v>20</v>
      </c>
      <c r="D100" s="5">
        <v>2</v>
      </c>
      <c r="E100" s="5">
        <v>0</v>
      </c>
      <c r="F100" s="5">
        <v>0</v>
      </c>
      <c r="G100" s="6">
        <f t="shared" si="1"/>
        <v>18</v>
      </c>
      <c r="H100" s="92"/>
      <c r="I100" s="8"/>
    </row>
    <row r="101" spans="1:9">
      <c r="A101" s="7">
        <v>46122</v>
      </c>
      <c r="B101" s="5" t="s">
        <v>40</v>
      </c>
      <c r="C101" s="5">
        <v>12</v>
      </c>
      <c r="D101" s="5">
        <v>0</v>
      </c>
      <c r="E101" s="5">
        <v>0</v>
      </c>
      <c r="F101" s="5">
        <v>0</v>
      </c>
      <c r="G101" s="6">
        <f t="shared" si="1"/>
        <v>12</v>
      </c>
      <c r="H101" s="92"/>
      <c r="I101" s="8"/>
    </row>
    <row r="102" spans="1:9">
      <c r="A102" s="7">
        <v>46123</v>
      </c>
      <c r="B102" s="5" t="s">
        <v>40</v>
      </c>
      <c r="C102" s="5">
        <v>30</v>
      </c>
      <c r="D102" s="5">
        <v>0</v>
      </c>
      <c r="E102" s="5">
        <v>0</v>
      </c>
      <c r="F102" s="5">
        <v>0</v>
      </c>
      <c r="G102" s="6">
        <f t="shared" si="1"/>
        <v>30</v>
      </c>
      <c r="H102" s="92"/>
      <c r="I102" s="8"/>
    </row>
    <row r="103" spans="1:9">
      <c r="A103" s="7">
        <v>46124</v>
      </c>
      <c r="B103" s="5" t="s">
        <v>40</v>
      </c>
      <c r="C103" s="5">
        <v>10</v>
      </c>
      <c r="D103" s="5">
        <v>2</v>
      </c>
      <c r="E103" s="5">
        <v>0</v>
      </c>
      <c r="F103" s="5">
        <v>0</v>
      </c>
      <c r="G103" s="6">
        <f t="shared" si="1"/>
        <v>8</v>
      </c>
      <c r="H103" s="93"/>
      <c r="I103" s="8"/>
    </row>
    <row r="104" spans="1:9">
      <c r="A104" s="7">
        <v>46125</v>
      </c>
      <c r="B104" s="5" t="s">
        <v>40</v>
      </c>
      <c r="C104" s="5">
        <v>7</v>
      </c>
      <c r="D104" s="5">
        <v>2</v>
      </c>
      <c r="E104" s="5">
        <v>0</v>
      </c>
      <c r="F104" s="5">
        <v>0</v>
      </c>
      <c r="G104" s="6">
        <f>SUM(F104,E104,C104-D104)</f>
        <v>5</v>
      </c>
      <c r="H104" s="91">
        <f>SUM(G104:G109)</f>
        <v>295</v>
      </c>
      <c r="I104" s="8"/>
    </row>
    <row r="105" spans="1:9">
      <c r="A105" s="7">
        <v>46126</v>
      </c>
      <c r="B105" s="5" t="s">
        <v>40</v>
      </c>
      <c r="C105" s="5">
        <v>38</v>
      </c>
      <c r="D105" s="5">
        <v>1</v>
      </c>
      <c r="E105" s="5">
        <v>0</v>
      </c>
      <c r="F105" s="5">
        <v>0</v>
      </c>
      <c r="G105" s="6">
        <f t="shared" si="1"/>
        <v>37</v>
      </c>
      <c r="H105" s="92"/>
      <c r="I105" s="8"/>
    </row>
    <row r="106" spans="1:9">
      <c r="A106" s="7">
        <v>46127</v>
      </c>
      <c r="B106" s="5" t="s">
        <v>40</v>
      </c>
      <c r="C106" s="5">
        <v>80</v>
      </c>
      <c r="D106" s="5">
        <v>5</v>
      </c>
      <c r="E106" s="5">
        <v>0</v>
      </c>
      <c r="F106" s="5">
        <v>0</v>
      </c>
      <c r="G106" s="6">
        <f t="shared" si="1"/>
        <v>75</v>
      </c>
      <c r="H106" s="92"/>
      <c r="I106" s="8"/>
    </row>
    <row r="107" spans="1:9">
      <c r="A107" s="7">
        <v>46128</v>
      </c>
      <c r="B107" s="5" t="s">
        <v>40</v>
      </c>
      <c r="C107" s="5">
        <v>106</v>
      </c>
      <c r="D107" s="5">
        <v>1</v>
      </c>
      <c r="E107" s="5">
        <v>0</v>
      </c>
      <c r="F107" s="5">
        <v>0</v>
      </c>
      <c r="G107" s="6">
        <f t="shared" si="1"/>
        <v>105</v>
      </c>
      <c r="H107" s="92"/>
      <c r="I107" s="8"/>
    </row>
    <row r="108" spans="1:9">
      <c r="A108" s="7">
        <v>46129</v>
      </c>
      <c r="B108" s="5" t="s">
        <v>40</v>
      </c>
      <c r="C108" s="5">
        <v>38</v>
      </c>
      <c r="D108" s="5">
        <v>1</v>
      </c>
      <c r="E108" s="5">
        <v>0</v>
      </c>
      <c r="F108" s="5">
        <v>0</v>
      </c>
      <c r="G108" s="6">
        <f t="shared" si="1"/>
        <v>37</v>
      </c>
      <c r="H108" s="92"/>
      <c r="I108" s="8"/>
    </row>
    <row r="109" spans="1:9">
      <c r="A109" s="7">
        <v>46130</v>
      </c>
      <c r="B109" s="5" t="s">
        <v>40</v>
      </c>
      <c r="C109" s="5">
        <v>36</v>
      </c>
      <c r="D109" s="5">
        <v>0</v>
      </c>
      <c r="E109" s="5">
        <v>0</v>
      </c>
      <c r="F109" s="5">
        <v>0</v>
      </c>
      <c r="G109" s="6">
        <f t="shared" si="1"/>
        <v>36</v>
      </c>
      <c r="H109" s="92"/>
      <c r="I109" s="8"/>
    </row>
    <row r="110" spans="1:9">
      <c r="A110" s="7">
        <v>46131</v>
      </c>
      <c r="B110" s="5" t="s">
        <v>40</v>
      </c>
      <c r="C110" s="5">
        <v>47</v>
      </c>
      <c r="D110" s="5">
        <v>2</v>
      </c>
      <c r="E110" s="5">
        <v>0</v>
      </c>
      <c r="F110" s="5">
        <v>0</v>
      </c>
      <c r="G110" s="6">
        <f t="shared" si="1"/>
        <v>45</v>
      </c>
      <c r="H110" s="93"/>
      <c r="I110" s="8"/>
    </row>
    <row r="111" spans="1:9">
      <c r="A111" s="7">
        <v>46132</v>
      </c>
      <c r="B111" s="5" t="s">
        <v>40</v>
      </c>
      <c r="C111" s="5">
        <v>39</v>
      </c>
      <c r="D111" s="5">
        <v>2</v>
      </c>
      <c r="E111" s="5">
        <v>0</v>
      </c>
      <c r="F111" s="5">
        <v>0</v>
      </c>
      <c r="G111" s="6">
        <f t="shared" si="1"/>
        <v>37</v>
      </c>
      <c r="H111" s="91">
        <f>SUM(G111:G117)</f>
        <v>514</v>
      </c>
      <c r="I111" s="8"/>
    </row>
    <row r="112" spans="1:9">
      <c r="A112" s="7">
        <v>46133</v>
      </c>
      <c r="B112" s="5" t="s">
        <v>40</v>
      </c>
      <c r="C112" s="5">
        <v>34</v>
      </c>
      <c r="D112" s="5">
        <v>2</v>
      </c>
      <c r="E112" s="5">
        <v>0</v>
      </c>
      <c r="F112" s="5">
        <v>0</v>
      </c>
      <c r="G112" s="6">
        <f t="shared" si="1"/>
        <v>32</v>
      </c>
      <c r="H112" s="92"/>
      <c r="I112" s="8"/>
    </row>
    <row r="113" spans="1:9">
      <c r="A113" s="7">
        <v>46134</v>
      </c>
      <c r="B113" s="5" t="s">
        <v>40</v>
      </c>
      <c r="C113" s="5">
        <v>168</v>
      </c>
      <c r="D113" s="5">
        <v>2</v>
      </c>
      <c r="E113" s="5">
        <v>0</v>
      </c>
      <c r="F113" s="5">
        <v>0</v>
      </c>
      <c r="G113" s="6">
        <f t="shared" si="1"/>
        <v>166</v>
      </c>
      <c r="H113" s="92"/>
      <c r="I113" s="8"/>
    </row>
    <row r="114" spans="1:9">
      <c r="A114" s="7">
        <v>46135</v>
      </c>
      <c r="B114" s="5" t="s">
        <v>40</v>
      </c>
      <c r="C114" s="5">
        <v>90</v>
      </c>
      <c r="D114" s="5">
        <v>4</v>
      </c>
      <c r="E114" s="5">
        <v>0</v>
      </c>
      <c r="F114" s="5">
        <v>0</v>
      </c>
      <c r="G114" s="6">
        <f t="shared" si="1"/>
        <v>86</v>
      </c>
      <c r="H114" s="92"/>
      <c r="I114" s="8"/>
    </row>
    <row r="115" spans="1:9">
      <c r="A115" s="7">
        <v>46136</v>
      </c>
      <c r="B115" s="5" t="s">
        <v>40</v>
      </c>
      <c r="C115" s="5">
        <v>25</v>
      </c>
      <c r="D115" s="5">
        <v>2</v>
      </c>
      <c r="E115" s="5">
        <v>0</v>
      </c>
      <c r="F115" s="5">
        <v>0</v>
      </c>
      <c r="G115" s="6">
        <f t="shared" si="1"/>
        <v>23</v>
      </c>
      <c r="H115" s="92"/>
      <c r="I115" s="8"/>
    </row>
    <row r="116" spans="1:9">
      <c r="A116" s="7">
        <v>46137</v>
      </c>
      <c r="B116" s="5" t="s">
        <v>40</v>
      </c>
      <c r="C116" s="5">
        <v>130</v>
      </c>
      <c r="D116" s="5">
        <v>1</v>
      </c>
      <c r="E116" s="5">
        <v>0</v>
      </c>
      <c r="F116" s="5">
        <v>0</v>
      </c>
      <c r="G116" s="6">
        <f t="shared" si="1"/>
        <v>129</v>
      </c>
      <c r="H116" s="92"/>
      <c r="I116" s="8"/>
    </row>
    <row r="117" spans="1:9">
      <c r="A117" s="7">
        <v>46138</v>
      </c>
      <c r="B117" s="5" t="s">
        <v>40</v>
      </c>
      <c r="C117" s="5">
        <v>44</v>
      </c>
      <c r="D117" s="5">
        <v>3</v>
      </c>
      <c r="E117" s="5">
        <v>0</v>
      </c>
      <c r="F117" s="5">
        <v>0</v>
      </c>
      <c r="G117" s="6">
        <f t="shared" si="1"/>
        <v>41</v>
      </c>
      <c r="H117" s="93"/>
      <c r="I117" s="8"/>
    </row>
    <row r="118" spans="1:9">
      <c r="A118" s="7">
        <v>46139</v>
      </c>
      <c r="B118" s="5" t="s">
        <v>40</v>
      </c>
      <c r="C118" s="5">
        <v>52</v>
      </c>
      <c r="D118" s="5">
        <v>3</v>
      </c>
      <c r="E118" s="5">
        <v>0</v>
      </c>
      <c r="F118" s="5">
        <v>0</v>
      </c>
      <c r="G118" s="6">
        <f t="shared" si="1"/>
        <v>49</v>
      </c>
      <c r="H118" s="91">
        <f>SUM(G118:G124)</f>
        <v>272</v>
      </c>
      <c r="I118" s="8"/>
    </row>
    <row r="119" spans="1:9">
      <c r="A119" s="7">
        <v>46140</v>
      </c>
      <c r="B119" s="5" t="s">
        <v>40</v>
      </c>
      <c r="C119" s="5">
        <v>52</v>
      </c>
      <c r="D119" s="5">
        <v>3</v>
      </c>
      <c r="E119" s="5">
        <v>0</v>
      </c>
      <c r="F119" s="5">
        <v>0</v>
      </c>
      <c r="G119" s="6">
        <f t="shared" si="1"/>
        <v>49</v>
      </c>
      <c r="H119" s="92"/>
      <c r="I119" s="8"/>
    </row>
    <row r="120" spans="1:9">
      <c r="A120" s="7">
        <v>46141</v>
      </c>
      <c r="B120" s="5" t="s">
        <v>40</v>
      </c>
      <c r="C120" s="5">
        <v>53</v>
      </c>
      <c r="D120" s="5">
        <v>3</v>
      </c>
      <c r="E120" s="5">
        <v>0</v>
      </c>
      <c r="F120" s="5">
        <v>0</v>
      </c>
      <c r="G120" s="6">
        <f t="shared" si="1"/>
        <v>50</v>
      </c>
      <c r="H120" s="92"/>
      <c r="I120" s="8"/>
    </row>
    <row r="121" spans="1:9">
      <c r="A121" s="7">
        <v>46142</v>
      </c>
      <c r="B121" s="5" t="s">
        <v>40</v>
      </c>
      <c r="C121" s="5">
        <v>23</v>
      </c>
      <c r="D121" s="5">
        <v>2</v>
      </c>
      <c r="E121" s="5">
        <v>0</v>
      </c>
      <c r="F121" s="5">
        <v>0</v>
      </c>
      <c r="G121" s="6">
        <f t="shared" si="1"/>
        <v>21</v>
      </c>
      <c r="H121" s="92"/>
      <c r="I121" s="8"/>
    </row>
    <row r="122" spans="1:9">
      <c r="A122" s="7">
        <v>46143</v>
      </c>
      <c r="B122" s="5" t="s">
        <v>40</v>
      </c>
      <c r="C122" s="5">
        <v>46</v>
      </c>
      <c r="D122" s="5">
        <v>1</v>
      </c>
      <c r="E122" s="5">
        <v>0</v>
      </c>
      <c r="F122" s="5">
        <v>0</v>
      </c>
      <c r="G122" s="6">
        <f t="shared" si="1"/>
        <v>45</v>
      </c>
      <c r="H122" s="92"/>
      <c r="I122" s="8"/>
    </row>
    <row r="123" spans="1:9">
      <c r="A123" s="7">
        <v>46144</v>
      </c>
      <c r="B123" s="5" t="s">
        <v>40</v>
      </c>
      <c r="C123" s="5">
        <v>39</v>
      </c>
      <c r="D123" s="5">
        <v>4</v>
      </c>
      <c r="E123" s="5">
        <v>0</v>
      </c>
      <c r="F123" s="5">
        <v>0</v>
      </c>
      <c r="G123" s="6">
        <f t="shared" si="1"/>
        <v>35</v>
      </c>
      <c r="H123" s="92"/>
      <c r="I123" s="8"/>
    </row>
    <row r="124" spans="1:9">
      <c r="A124" s="7">
        <v>46145</v>
      </c>
      <c r="B124" s="5" t="s">
        <v>40</v>
      </c>
      <c r="C124" s="5">
        <v>23</v>
      </c>
      <c r="D124" s="5">
        <v>0</v>
      </c>
      <c r="E124" s="5">
        <v>0</v>
      </c>
      <c r="F124" s="5">
        <v>0</v>
      </c>
      <c r="G124" s="6">
        <f t="shared" si="1"/>
        <v>23</v>
      </c>
      <c r="H124" s="93"/>
      <c r="I124" s="8"/>
    </row>
    <row r="125" spans="1:9">
      <c r="A125" s="7">
        <v>46146</v>
      </c>
      <c r="B125" s="5" t="s">
        <v>40</v>
      </c>
      <c r="C125" s="5">
        <v>0</v>
      </c>
      <c r="D125" s="5">
        <v>0</v>
      </c>
      <c r="E125" s="5">
        <v>0</v>
      </c>
      <c r="F125" s="5">
        <v>0</v>
      </c>
      <c r="G125" s="6">
        <f t="shared" si="1"/>
        <v>0</v>
      </c>
      <c r="H125" s="91">
        <f>SUM(G125:G131)</f>
        <v>0</v>
      </c>
      <c r="I125" s="8"/>
    </row>
    <row r="126" spans="1:9">
      <c r="A126" s="7">
        <v>46147</v>
      </c>
      <c r="B126" s="5" t="s">
        <v>40</v>
      </c>
      <c r="C126" s="5">
        <v>0</v>
      </c>
      <c r="D126" s="5">
        <v>0</v>
      </c>
      <c r="E126" s="5">
        <v>0</v>
      </c>
      <c r="F126" s="5">
        <v>0</v>
      </c>
      <c r="G126" s="6">
        <f t="shared" si="1"/>
        <v>0</v>
      </c>
      <c r="H126" s="92"/>
      <c r="I126" s="8"/>
    </row>
    <row r="127" spans="1:9">
      <c r="A127" s="7">
        <v>46148</v>
      </c>
      <c r="B127" s="5" t="s">
        <v>40</v>
      </c>
      <c r="C127" s="5">
        <v>0</v>
      </c>
      <c r="D127" s="5">
        <v>0</v>
      </c>
      <c r="E127" s="5">
        <v>0</v>
      </c>
      <c r="F127" s="5">
        <v>0</v>
      </c>
      <c r="G127" s="6">
        <f t="shared" si="1"/>
        <v>0</v>
      </c>
      <c r="H127" s="92"/>
      <c r="I127" s="8"/>
    </row>
    <row r="128" spans="1:9">
      <c r="A128" s="7">
        <v>46149</v>
      </c>
      <c r="B128" s="5" t="s">
        <v>40</v>
      </c>
      <c r="C128" s="5">
        <v>0</v>
      </c>
      <c r="D128" s="5">
        <v>0</v>
      </c>
      <c r="E128" s="5">
        <v>0</v>
      </c>
      <c r="F128" s="5">
        <v>0</v>
      </c>
      <c r="G128" s="6">
        <f t="shared" si="1"/>
        <v>0</v>
      </c>
      <c r="H128" s="92"/>
      <c r="I128" s="8"/>
    </row>
    <row r="129" spans="1:9">
      <c r="A129" s="7">
        <v>46150</v>
      </c>
      <c r="B129" s="5" t="s">
        <v>40</v>
      </c>
      <c r="C129" s="5">
        <v>0</v>
      </c>
      <c r="D129" s="5">
        <v>0</v>
      </c>
      <c r="E129" s="5">
        <v>0</v>
      </c>
      <c r="F129" s="5">
        <v>0</v>
      </c>
      <c r="G129" s="6">
        <f t="shared" si="1"/>
        <v>0</v>
      </c>
      <c r="H129" s="92"/>
      <c r="I129" s="8"/>
    </row>
    <row r="130" spans="1:9">
      <c r="A130" s="7">
        <v>46151</v>
      </c>
      <c r="B130" s="5" t="s">
        <v>40</v>
      </c>
      <c r="C130" s="5">
        <v>0</v>
      </c>
      <c r="D130" s="5">
        <v>0</v>
      </c>
      <c r="E130" s="5">
        <v>0</v>
      </c>
      <c r="F130" s="5">
        <v>0</v>
      </c>
      <c r="G130" s="6">
        <f t="shared" si="1"/>
        <v>0</v>
      </c>
      <c r="H130" s="92"/>
      <c r="I130" s="8"/>
    </row>
    <row r="131" spans="1:9">
      <c r="A131" s="7">
        <v>46152</v>
      </c>
      <c r="B131" s="5" t="s">
        <v>40</v>
      </c>
      <c r="C131" s="5">
        <v>0</v>
      </c>
      <c r="D131" s="5">
        <v>0</v>
      </c>
      <c r="E131" s="5">
        <v>0</v>
      </c>
      <c r="F131" s="5">
        <v>0</v>
      </c>
      <c r="G131" s="6">
        <f t="shared" ref="G131:G194" si="2">SUM(F131,E131,C131-D131)</f>
        <v>0</v>
      </c>
      <c r="H131" s="93"/>
      <c r="I131" s="8"/>
    </row>
    <row r="132" spans="1:9">
      <c r="A132" s="7">
        <v>46153</v>
      </c>
      <c r="B132" s="5" t="s">
        <v>40</v>
      </c>
      <c r="C132" s="5">
        <v>0</v>
      </c>
      <c r="D132" s="5">
        <v>0</v>
      </c>
      <c r="E132" s="5">
        <v>0</v>
      </c>
      <c r="F132" s="5">
        <v>0</v>
      </c>
      <c r="G132" s="6">
        <f t="shared" si="2"/>
        <v>0</v>
      </c>
      <c r="H132" s="91">
        <f t="shared" ref="H132" si="3">SUM(G132:G138)</f>
        <v>0</v>
      </c>
      <c r="I132" s="8"/>
    </row>
    <row r="133" spans="1:9">
      <c r="A133" s="7">
        <v>46154</v>
      </c>
      <c r="B133" s="5" t="s">
        <v>40</v>
      </c>
      <c r="C133" s="5">
        <v>0</v>
      </c>
      <c r="D133" s="5">
        <v>0</v>
      </c>
      <c r="E133" s="5">
        <v>0</v>
      </c>
      <c r="F133" s="5">
        <v>0</v>
      </c>
      <c r="G133" s="6">
        <f t="shared" si="2"/>
        <v>0</v>
      </c>
      <c r="H133" s="92"/>
      <c r="I133" s="8"/>
    </row>
    <row r="134" spans="1:9">
      <c r="A134" s="7">
        <v>46155</v>
      </c>
      <c r="B134" s="5" t="s">
        <v>40</v>
      </c>
      <c r="C134" s="5">
        <v>0</v>
      </c>
      <c r="D134" s="5">
        <v>0</v>
      </c>
      <c r="E134" s="5">
        <v>0</v>
      </c>
      <c r="F134" s="5">
        <v>0</v>
      </c>
      <c r="G134" s="6">
        <f t="shared" si="2"/>
        <v>0</v>
      </c>
      <c r="H134" s="92"/>
      <c r="I134" s="8"/>
    </row>
    <row r="135" spans="1:9">
      <c r="A135" s="7">
        <v>46156</v>
      </c>
      <c r="B135" s="5" t="s">
        <v>40</v>
      </c>
      <c r="C135" s="5">
        <v>0</v>
      </c>
      <c r="D135" s="5">
        <v>0</v>
      </c>
      <c r="E135" s="5">
        <v>0</v>
      </c>
      <c r="F135" s="5">
        <v>0</v>
      </c>
      <c r="G135" s="6">
        <f t="shared" si="2"/>
        <v>0</v>
      </c>
      <c r="H135" s="92"/>
      <c r="I135" s="8"/>
    </row>
    <row r="136" spans="1:9">
      <c r="A136" s="7">
        <v>46157</v>
      </c>
      <c r="B136" s="5" t="s">
        <v>40</v>
      </c>
      <c r="C136" s="5">
        <v>0</v>
      </c>
      <c r="D136" s="5">
        <v>0</v>
      </c>
      <c r="E136" s="5">
        <v>0</v>
      </c>
      <c r="F136" s="5">
        <v>0</v>
      </c>
      <c r="G136" s="6">
        <f t="shared" si="2"/>
        <v>0</v>
      </c>
      <c r="H136" s="92"/>
      <c r="I136" s="8"/>
    </row>
    <row r="137" spans="1:9">
      <c r="A137" s="7">
        <v>46158</v>
      </c>
      <c r="B137" s="5" t="s">
        <v>40</v>
      </c>
      <c r="C137" s="5">
        <v>0</v>
      </c>
      <c r="D137" s="5">
        <v>0</v>
      </c>
      <c r="E137" s="5">
        <v>0</v>
      </c>
      <c r="F137" s="5">
        <v>0</v>
      </c>
      <c r="G137" s="6">
        <f t="shared" si="2"/>
        <v>0</v>
      </c>
      <c r="H137" s="92"/>
      <c r="I137" s="8"/>
    </row>
    <row r="138" spans="1:9">
      <c r="A138" s="7">
        <v>46159</v>
      </c>
      <c r="B138" s="5" t="s">
        <v>40</v>
      </c>
      <c r="C138" s="5">
        <v>0</v>
      </c>
      <c r="D138" s="5">
        <v>0</v>
      </c>
      <c r="E138" s="5">
        <v>0</v>
      </c>
      <c r="F138" s="5">
        <v>0</v>
      </c>
      <c r="G138" s="6">
        <f t="shared" si="2"/>
        <v>0</v>
      </c>
      <c r="H138" s="93"/>
      <c r="I138" s="8"/>
    </row>
    <row r="139" spans="1:9">
      <c r="A139" s="7">
        <v>46160</v>
      </c>
      <c r="B139" s="5" t="s">
        <v>40</v>
      </c>
      <c r="C139" s="5">
        <v>0</v>
      </c>
      <c r="D139" s="5">
        <v>0</v>
      </c>
      <c r="E139" s="5">
        <v>0</v>
      </c>
      <c r="F139" s="5">
        <v>0</v>
      </c>
      <c r="G139" s="6">
        <f t="shared" si="2"/>
        <v>0</v>
      </c>
      <c r="H139" s="91">
        <f t="shared" ref="H139" si="4">SUM(G139:G145)</f>
        <v>0</v>
      </c>
      <c r="I139" s="8"/>
    </row>
    <row r="140" spans="1:9">
      <c r="A140" s="7">
        <v>46161</v>
      </c>
      <c r="B140" s="5" t="s">
        <v>40</v>
      </c>
      <c r="C140" s="5">
        <v>0</v>
      </c>
      <c r="D140" s="5">
        <v>0</v>
      </c>
      <c r="E140" s="5">
        <v>0</v>
      </c>
      <c r="F140" s="5">
        <v>0</v>
      </c>
      <c r="G140" s="6">
        <f t="shared" si="2"/>
        <v>0</v>
      </c>
      <c r="H140" s="92"/>
      <c r="I140" s="8"/>
    </row>
    <row r="141" spans="1:9">
      <c r="A141" s="7">
        <v>46162</v>
      </c>
      <c r="B141" s="5" t="s">
        <v>40</v>
      </c>
      <c r="C141" s="5">
        <v>0</v>
      </c>
      <c r="D141" s="5">
        <v>0</v>
      </c>
      <c r="E141" s="5">
        <v>0</v>
      </c>
      <c r="F141" s="5">
        <v>0</v>
      </c>
      <c r="G141" s="6">
        <f t="shared" si="2"/>
        <v>0</v>
      </c>
      <c r="H141" s="92"/>
      <c r="I141" s="8"/>
    </row>
    <row r="142" spans="1:9">
      <c r="A142" s="7">
        <v>46163</v>
      </c>
      <c r="B142" s="5" t="s">
        <v>40</v>
      </c>
      <c r="C142" s="5">
        <v>0</v>
      </c>
      <c r="D142" s="5">
        <v>0</v>
      </c>
      <c r="E142" s="5">
        <v>0</v>
      </c>
      <c r="F142" s="5">
        <v>0</v>
      </c>
      <c r="G142" s="6">
        <f t="shared" si="2"/>
        <v>0</v>
      </c>
      <c r="H142" s="92"/>
      <c r="I142" s="8"/>
    </row>
    <row r="143" spans="1:9">
      <c r="A143" s="7">
        <v>46164</v>
      </c>
      <c r="B143" s="5" t="s">
        <v>40</v>
      </c>
      <c r="C143" s="5">
        <v>0</v>
      </c>
      <c r="D143" s="5">
        <v>0</v>
      </c>
      <c r="E143" s="5">
        <v>0</v>
      </c>
      <c r="F143" s="5">
        <v>0</v>
      </c>
      <c r="G143" s="6">
        <f t="shared" si="2"/>
        <v>0</v>
      </c>
      <c r="H143" s="92"/>
      <c r="I143" s="8"/>
    </row>
    <row r="144" spans="1:9">
      <c r="A144" s="7">
        <v>46165</v>
      </c>
      <c r="B144" s="5" t="s">
        <v>40</v>
      </c>
      <c r="C144" s="5">
        <v>0</v>
      </c>
      <c r="D144" s="5">
        <v>0</v>
      </c>
      <c r="E144" s="5">
        <v>0</v>
      </c>
      <c r="F144" s="5">
        <v>0</v>
      </c>
      <c r="G144" s="6">
        <f t="shared" si="2"/>
        <v>0</v>
      </c>
      <c r="H144" s="92"/>
      <c r="I144" s="8"/>
    </row>
    <row r="145" spans="1:9">
      <c r="A145" s="7">
        <v>46166</v>
      </c>
      <c r="B145" s="5" t="s">
        <v>40</v>
      </c>
      <c r="C145" s="5">
        <v>0</v>
      </c>
      <c r="D145" s="5">
        <v>0</v>
      </c>
      <c r="E145" s="5">
        <v>0</v>
      </c>
      <c r="F145" s="5">
        <v>0</v>
      </c>
      <c r="G145" s="6">
        <f t="shared" si="2"/>
        <v>0</v>
      </c>
      <c r="H145" s="93"/>
      <c r="I145" s="8"/>
    </row>
    <row r="146" spans="1:9">
      <c r="A146" s="7">
        <v>46167</v>
      </c>
      <c r="B146" s="5" t="s">
        <v>40</v>
      </c>
      <c r="C146" s="5">
        <v>0</v>
      </c>
      <c r="D146" s="5">
        <v>0</v>
      </c>
      <c r="E146" s="5">
        <v>0</v>
      </c>
      <c r="F146" s="5">
        <v>0</v>
      </c>
      <c r="G146" s="6">
        <f t="shared" si="2"/>
        <v>0</v>
      </c>
      <c r="H146" s="91">
        <f t="shared" ref="H146" si="5">SUM(G146:G152)</f>
        <v>0</v>
      </c>
      <c r="I146" s="8"/>
    </row>
    <row r="147" spans="1:9">
      <c r="A147" s="7">
        <v>46168</v>
      </c>
      <c r="B147" s="5" t="s">
        <v>40</v>
      </c>
      <c r="C147" s="5">
        <v>0</v>
      </c>
      <c r="D147" s="5">
        <v>0</v>
      </c>
      <c r="E147" s="5">
        <v>0</v>
      </c>
      <c r="F147" s="5">
        <v>0</v>
      </c>
      <c r="G147" s="6">
        <f t="shared" si="2"/>
        <v>0</v>
      </c>
      <c r="H147" s="92"/>
      <c r="I147" s="8"/>
    </row>
    <row r="148" spans="1:9">
      <c r="A148" s="7">
        <v>46169</v>
      </c>
      <c r="B148" s="5" t="s">
        <v>40</v>
      </c>
      <c r="C148" s="5">
        <v>0</v>
      </c>
      <c r="D148" s="5">
        <v>0</v>
      </c>
      <c r="E148" s="5">
        <v>0</v>
      </c>
      <c r="F148" s="5">
        <v>0</v>
      </c>
      <c r="G148" s="6">
        <f t="shared" si="2"/>
        <v>0</v>
      </c>
      <c r="H148" s="92"/>
      <c r="I148" s="8"/>
    </row>
    <row r="149" spans="1:9">
      <c r="A149" s="7">
        <v>46170</v>
      </c>
      <c r="B149" s="5" t="s">
        <v>40</v>
      </c>
      <c r="C149" s="5">
        <v>0</v>
      </c>
      <c r="D149" s="5">
        <v>0</v>
      </c>
      <c r="E149" s="5">
        <v>0</v>
      </c>
      <c r="F149" s="5">
        <v>0</v>
      </c>
      <c r="G149" s="6">
        <f t="shared" si="2"/>
        <v>0</v>
      </c>
      <c r="H149" s="92"/>
      <c r="I149" s="8"/>
    </row>
    <row r="150" spans="1:9">
      <c r="A150" s="7">
        <v>46171</v>
      </c>
      <c r="B150" s="5" t="s">
        <v>40</v>
      </c>
      <c r="C150" s="5">
        <v>0</v>
      </c>
      <c r="D150" s="5">
        <v>0</v>
      </c>
      <c r="E150" s="5">
        <v>0</v>
      </c>
      <c r="F150" s="5">
        <v>0</v>
      </c>
      <c r="G150" s="6">
        <f t="shared" si="2"/>
        <v>0</v>
      </c>
      <c r="H150" s="92"/>
      <c r="I150" s="8"/>
    </row>
    <row r="151" spans="1:9">
      <c r="A151" s="7">
        <v>46172</v>
      </c>
      <c r="B151" s="5" t="s">
        <v>40</v>
      </c>
      <c r="C151" s="5">
        <v>0</v>
      </c>
      <c r="D151" s="5">
        <v>0</v>
      </c>
      <c r="E151" s="5">
        <v>0</v>
      </c>
      <c r="F151" s="5">
        <v>0</v>
      </c>
      <c r="G151" s="6">
        <f t="shared" si="2"/>
        <v>0</v>
      </c>
      <c r="H151" s="92"/>
      <c r="I151" s="8"/>
    </row>
    <row r="152" spans="1:9">
      <c r="A152" s="7">
        <v>46173</v>
      </c>
      <c r="B152" s="5" t="s">
        <v>40</v>
      </c>
      <c r="C152" s="5">
        <v>0</v>
      </c>
      <c r="D152" s="5">
        <v>0</v>
      </c>
      <c r="E152" s="5">
        <v>0</v>
      </c>
      <c r="F152" s="5">
        <v>0</v>
      </c>
      <c r="G152" s="6">
        <f t="shared" si="2"/>
        <v>0</v>
      </c>
      <c r="H152" s="93"/>
      <c r="I152" s="8"/>
    </row>
    <row r="153" spans="1:9">
      <c r="A153" s="7">
        <v>46174</v>
      </c>
      <c r="B153" s="5" t="s">
        <v>40</v>
      </c>
      <c r="C153" s="5">
        <v>0</v>
      </c>
      <c r="D153" s="5">
        <v>0</v>
      </c>
      <c r="E153" s="5">
        <v>0</v>
      </c>
      <c r="F153" s="5">
        <v>0</v>
      </c>
      <c r="G153" s="6">
        <f t="shared" si="2"/>
        <v>0</v>
      </c>
      <c r="H153" s="91">
        <f t="shared" ref="H153" si="6">SUM(G153:G159)</f>
        <v>0</v>
      </c>
      <c r="I153" s="8"/>
    </row>
    <row r="154" spans="1:9">
      <c r="A154" s="7">
        <v>46175</v>
      </c>
      <c r="B154" s="5" t="s">
        <v>40</v>
      </c>
      <c r="C154" s="5">
        <v>0</v>
      </c>
      <c r="D154" s="5">
        <v>0</v>
      </c>
      <c r="E154" s="5">
        <v>0</v>
      </c>
      <c r="F154" s="5">
        <v>0</v>
      </c>
      <c r="G154" s="6">
        <f t="shared" si="2"/>
        <v>0</v>
      </c>
      <c r="H154" s="92"/>
      <c r="I154" s="8"/>
    </row>
    <row r="155" spans="1:9">
      <c r="A155" s="7">
        <v>46176</v>
      </c>
      <c r="B155" s="5" t="s">
        <v>40</v>
      </c>
      <c r="C155" s="5">
        <v>0</v>
      </c>
      <c r="D155" s="5">
        <v>0</v>
      </c>
      <c r="E155" s="5">
        <v>0</v>
      </c>
      <c r="F155" s="5">
        <v>0</v>
      </c>
      <c r="G155" s="6">
        <f t="shared" si="2"/>
        <v>0</v>
      </c>
      <c r="H155" s="92"/>
      <c r="I155" s="8"/>
    </row>
    <row r="156" spans="1:9">
      <c r="A156" s="7">
        <v>46177</v>
      </c>
      <c r="B156" s="5" t="s">
        <v>40</v>
      </c>
      <c r="C156" s="5">
        <v>0</v>
      </c>
      <c r="D156" s="5">
        <v>0</v>
      </c>
      <c r="E156" s="5">
        <v>0</v>
      </c>
      <c r="F156" s="5">
        <v>0</v>
      </c>
      <c r="G156" s="6">
        <f t="shared" si="2"/>
        <v>0</v>
      </c>
      <c r="H156" s="92"/>
      <c r="I156" s="8"/>
    </row>
    <row r="157" spans="1:9">
      <c r="A157" s="7">
        <v>46178</v>
      </c>
      <c r="B157" s="5" t="s">
        <v>40</v>
      </c>
      <c r="C157" s="5">
        <v>0</v>
      </c>
      <c r="D157" s="5">
        <v>0</v>
      </c>
      <c r="E157" s="5">
        <v>0</v>
      </c>
      <c r="F157" s="5">
        <v>0</v>
      </c>
      <c r="G157" s="6">
        <f t="shared" si="2"/>
        <v>0</v>
      </c>
      <c r="H157" s="92"/>
      <c r="I157" s="8"/>
    </row>
    <row r="158" spans="1:9">
      <c r="A158" s="7">
        <v>46179</v>
      </c>
      <c r="B158" s="5" t="s">
        <v>40</v>
      </c>
      <c r="C158" s="5">
        <v>0</v>
      </c>
      <c r="D158" s="5">
        <v>0</v>
      </c>
      <c r="E158" s="5">
        <v>0</v>
      </c>
      <c r="F158" s="5">
        <v>0</v>
      </c>
      <c r="G158" s="6">
        <f t="shared" si="2"/>
        <v>0</v>
      </c>
      <c r="H158" s="92"/>
      <c r="I158" s="8"/>
    </row>
    <row r="159" spans="1:9">
      <c r="A159" s="7">
        <v>46180</v>
      </c>
      <c r="B159" s="5" t="s">
        <v>40</v>
      </c>
      <c r="C159" s="5">
        <v>0</v>
      </c>
      <c r="D159" s="5">
        <v>0</v>
      </c>
      <c r="E159" s="5">
        <v>0</v>
      </c>
      <c r="F159" s="5">
        <v>0</v>
      </c>
      <c r="G159" s="6">
        <f t="shared" si="2"/>
        <v>0</v>
      </c>
      <c r="H159" s="93"/>
      <c r="I159" s="8"/>
    </row>
    <row r="160" spans="1:9">
      <c r="A160" s="7">
        <v>46181</v>
      </c>
      <c r="B160" s="5" t="s">
        <v>40</v>
      </c>
      <c r="C160" s="5">
        <v>0</v>
      </c>
      <c r="D160" s="5">
        <v>0</v>
      </c>
      <c r="E160" s="5">
        <v>0</v>
      </c>
      <c r="F160" s="5">
        <v>0</v>
      </c>
      <c r="G160" s="6">
        <f t="shared" si="2"/>
        <v>0</v>
      </c>
      <c r="H160" s="91">
        <f t="shared" ref="H160" si="7">SUM(G160:G166)</f>
        <v>0</v>
      </c>
      <c r="I160" s="8"/>
    </row>
    <row r="161" spans="1:9">
      <c r="A161" s="7">
        <v>46182</v>
      </c>
      <c r="B161" s="5" t="s">
        <v>40</v>
      </c>
      <c r="C161" s="5">
        <v>0</v>
      </c>
      <c r="D161" s="5">
        <v>0</v>
      </c>
      <c r="E161" s="5">
        <v>0</v>
      </c>
      <c r="F161" s="5">
        <v>0</v>
      </c>
      <c r="G161" s="6">
        <f t="shared" si="2"/>
        <v>0</v>
      </c>
      <c r="H161" s="92"/>
      <c r="I161" s="8"/>
    </row>
    <row r="162" spans="1:9">
      <c r="A162" s="7">
        <v>46183</v>
      </c>
      <c r="B162" s="5" t="s">
        <v>40</v>
      </c>
      <c r="C162" s="5">
        <v>0</v>
      </c>
      <c r="D162" s="5">
        <v>0</v>
      </c>
      <c r="E162" s="5">
        <v>0</v>
      </c>
      <c r="F162" s="5">
        <v>0</v>
      </c>
      <c r="G162" s="6">
        <f t="shared" si="2"/>
        <v>0</v>
      </c>
      <c r="H162" s="92"/>
      <c r="I162" s="8"/>
    </row>
    <row r="163" spans="1:9">
      <c r="A163" s="7">
        <v>46184</v>
      </c>
      <c r="B163" s="5" t="s">
        <v>40</v>
      </c>
      <c r="C163" s="5">
        <v>0</v>
      </c>
      <c r="D163" s="5">
        <v>0</v>
      </c>
      <c r="E163" s="5">
        <v>0</v>
      </c>
      <c r="F163" s="5">
        <v>0</v>
      </c>
      <c r="G163" s="6">
        <f t="shared" si="2"/>
        <v>0</v>
      </c>
      <c r="H163" s="92"/>
      <c r="I163" s="8"/>
    </row>
    <row r="164" spans="1:9">
      <c r="A164" s="7">
        <v>46185</v>
      </c>
      <c r="B164" s="5" t="s">
        <v>40</v>
      </c>
      <c r="C164" s="5">
        <v>0</v>
      </c>
      <c r="D164" s="5">
        <v>0</v>
      </c>
      <c r="E164" s="5">
        <v>0</v>
      </c>
      <c r="F164" s="5">
        <v>0</v>
      </c>
      <c r="G164" s="6">
        <f t="shared" si="2"/>
        <v>0</v>
      </c>
      <c r="H164" s="92"/>
      <c r="I164" s="8"/>
    </row>
    <row r="165" spans="1:9">
      <c r="A165" s="7">
        <v>46186</v>
      </c>
      <c r="B165" s="5" t="s">
        <v>40</v>
      </c>
      <c r="C165" s="5">
        <v>0</v>
      </c>
      <c r="D165" s="5">
        <v>0</v>
      </c>
      <c r="E165" s="5">
        <v>0</v>
      </c>
      <c r="F165" s="5">
        <v>0</v>
      </c>
      <c r="G165" s="6">
        <f t="shared" si="2"/>
        <v>0</v>
      </c>
      <c r="H165" s="92"/>
      <c r="I165" s="8"/>
    </row>
    <row r="166" spans="1:9">
      <c r="A166" s="7">
        <v>46187</v>
      </c>
      <c r="B166" s="5" t="s">
        <v>40</v>
      </c>
      <c r="C166" s="5">
        <v>0</v>
      </c>
      <c r="D166" s="5">
        <v>0</v>
      </c>
      <c r="E166" s="5">
        <v>0</v>
      </c>
      <c r="F166" s="5">
        <v>0</v>
      </c>
      <c r="G166" s="6">
        <f t="shared" si="2"/>
        <v>0</v>
      </c>
      <c r="H166" s="93"/>
      <c r="I166" s="8"/>
    </row>
    <row r="167" spans="1:9">
      <c r="A167" s="7">
        <v>46188</v>
      </c>
      <c r="B167" s="5" t="s">
        <v>40</v>
      </c>
      <c r="C167" s="5">
        <v>0</v>
      </c>
      <c r="D167" s="5">
        <v>0</v>
      </c>
      <c r="E167" s="5">
        <v>0</v>
      </c>
      <c r="F167" s="5">
        <v>0</v>
      </c>
      <c r="G167" s="6">
        <f t="shared" si="2"/>
        <v>0</v>
      </c>
      <c r="H167" s="91">
        <f t="shared" ref="H167" si="8">SUM(G167:G173)</f>
        <v>0</v>
      </c>
      <c r="I167" s="8"/>
    </row>
    <row r="168" spans="1:9">
      <c r="A168" s="7">
        <v>46189</v>
      </c>
      <c r="B168" s="5" t="s">
        <v>40</v>
      </c>
      <c r="C168" s="5">
        <v>0</v>
      </c>
      <c r="D168" s="5">
        <v>0</v>
      </c>
      <c r="E168" s="5">
        <v>0</v>
      </c>
      <c r="F168" s="5">
        <v>0</v>
      </c>
      <c r="G168" s="6">
        <f t="shared" si="2"/>
        <v>0</v>
      </c>
      <c r="H168" s="92"/>
      <c r="I168" s="8"/>
    </row>
    <row r="169" spans="1:9">
      <c r="A169" s="7">
        <v>46190</v>
      </c>
      <c r="B169" s="5" t="s">
        <v>40</v>
      </c>
      <c r="C169" s="5">
        <v>0</v>
      </c>
      <c r="D169" s="5">
        <v>0</v>
      </c>
      <c r="E169" s="5">
        <v>0</v>
      </c>
      <c r="F169" s="5">
        <v>0</v>
      </c>
      <c r="G169" s="6">
        <f t="shared" si="2"/>
        <v>0</v>
      </c>
      <c r="H169" s="92"/>
      <c r="I169" s="8"/>
    </row>
    <row r="170" spans="1:9">
      <c r="A170" s="7">
        <v>46191</v>
      </c>
      <c r="B170" s="5" t="s">
        <v>40</v>
      </c>
      <c r="C170" s="5">
        <v>0</v>
      </c>
      <c r="D170" s="5">
        <v>0</v>
      </c>
      <c r="E170" s="5">
        <v>0</v>
      </c>
      <c r="F170" s="5">
        <v>0</v>
      </c>
      <c r="G170" s="6">
        <f t="shared" si="2"/>
        <v>0</v>
      </c>
      <c r="H170" s="92"/>
      <c r="I170" s="8"/>
    </row>
    <row r="171" spans="1:9">
      <c r="A171" s="7">
        <v>46192</v>
      </c>
      <c r="B171" s="5" t="s">
        <v>40</v>
      </c>
      <c r="C171" s="5">
        <v>0</v>
      </c>
      <c r="D171" s="5">
        <v>0</v>
      </c>
      <c r="E171" s="5">
        <v>0</v>
      </c>
      <c r="F171" s="5">
        <v>0</v>
      </c>
      <c r="G171" s="6">
        <f t="shared" si="2"/>
        <v>0</v>
      </c>
      <c r="H171" s="92"/>
      <c r="I171" s="8"/>
    </row>
    <row r="172" spans="1:9">
      <c r="A172" s="7">
        <v>46193</v>
      </c>
      <c r="B172" s="5" t="s">
        <v>40</v>
      </c>
      <c r="C172" s="5">
        <v>0</v>
      </c>
      <c r="D172" s="5">
        <v>0</v>
      </c>
      <c r="E172" s="5">
        <v>0</v>
      </c>
      <c r="F172" s="5">
        <v>0</v>
      </c>
      <c r="G172" s="6">
        <f t="shared" si="2"/>
        <v>0</v>
      </c>
      <c r="H172" s="92"/>
      <c r="I172" s="8"/>
    </row>
    <row r="173" spans="1:9">
      <c r="A173" s="7">
        <v>46194</v>
      </c>
      <c r="B173" s="5" t="s">
        <v>40</v>
      </c>
      <c r="C173" s="5">
        <v>0</v>
      </c>
      <c r="D173" s="5">
        <v>0</v>
      </c>
      <c r="E173" s="5">
        <v>0</v>
      </c>
      <c r="F173" s="5">
        <v>0</v>
      </c>
      <c r="G173" s="6">
        <f t="shared" si="2"/>
        <v>0</v>
      </c>
      <c r="H173" s="93"/>
      <c r="I173" s="8"/>
    </row>
    <row r="174" spans="1:9">
      <c r="A174" s="7">
        <v>46195</v>
      </c>
      <c r="B174" s="5" t="s">
        <v>40</v>
      </c>
      <c r="C174" s="5">
        <v>0</v>
      </c>
      <c r="D174" s="5">
        <v>0</v>
      </c>
      <c r="E174" s="5">
        <v>0</v>
      </c>
      <c r="F174" s="5">
        <v>0</v>
      </c>
      <c r="G174" s="6">
        <f t="shared" si="2"/>
        <v>0</v>
      </c>
      <c r="H174" s="91">
        <f t="shared" ref="H174" si="9">SUM(G174:G180)</f>
        <v>0</v>
      </c>
      <c r="I174" s="8"/>
    </row>
    <row r="175" spans="1:9">
      <c r="A175" s="7">
        <v>46196</v>
      </c>
      <c r="B175" s="5" t="s">
        <v>40</v>
      </c>
      <c r="C175" s="5">
        <v>0</v>
      </c>
      <c r="D175" s="5">
        <v>0</v>
      </c>
      <c r="E175" s="5">
        <v>0</v>
      </c>
      <c r="F175" s="5">
        <v>0</v>
      </c>
      <c r="G175" s="6">
        <f t="shared" si="2"/>
        <v>0</v>
      </c>
      <c r="H175" s="92"/>
      <c r="I175" s="8"/>
    </row>
    <row r="176" spans="1:9">
      <c r="A176" s="7">
        <v>46197</v>
      </c>
      <c r="B176" s="5" t="s">
        <v>40</v>
      </c>
      <c r="C176" s="5">
        <v>0</v>
      </c>
      <c r="D176" s="5">
        <v>0</v>
      </c>
      <c r="E176" s="5">
        <v>0</v>
      </c>
      <c r="F176" s="5">
        <v>0</v>
      </c>
      <c r="G176" s="6">
        <f t="shared" si="2"/>
        <v>0</v>
      </c>
      <c r="H176" s="92"/>
      <c r="I176" s="8"/>
    </row>
    <row r="177" spans="1:9">
      <c r="A177" s="7">
        <v>46198</v>
      </c>
      <c r="B177" s="5" t="s">
        <v>40</v>
      </c>
      <c r="C177" s="5">
        <v>0</v>
      </c>
      <c r="D177" s="5">
        <v>0</v>
      </c>
      <c r="E177" s="5">
        <v>0</v>
      </c>
      <c r="F177" s="5">
        <v>0</v>
      </c>
      <c r="G177" s="6">
        <f t="shared" si="2"/>
        <v>0</v>
      </c>
      <c r="H177" s="92"/>
      <c r="I177" s="8"/>
    </row>
    <row r="178" spans="1:9">
      <c r="A178" s="7">
        <v>46199</v>
      </c>
      <c r="B178" s="5" t="s">
        <v>40</v>
      </c>
      <c r="C178" s="5">
        <v>0</v>
      </c>
      <c r="D178" s="5">
        <v>0</v>
      </c>
      <c r="E178" s="5">
        <v>0</v>
      </c>
      <c r="F178" s="5">
        <v>0</v>
      </c>
      <c r="G178" s="6">
        <f t="shared" si="2"/>
        <v>0</v>
      </c>
      <c r="H178" s="92"/>
      <c r="I178" s="8"/>
    </row>
    <row r="179" spans="1:9">
      <c r="A179" s="7">
        <v>46200</v>
      </c>
      <c r="B179" s="5" t="s">
        <v>40</v>
      </c>
      <c r="C179" s="5">
        <v>0</v>
      </c>
      <c r="D179" s="5">
        <v>0</v>
      </c>
      <c r="E179" s="5">
        <v>0</v>
      </c>
      <c r="F179" s="5">
        <v>0</v>
      </c>
      <c r="G179" s="6">
        <f t="shared" si="2"/>
        <v>0</v>
      </c>
      <c r="H179" s="92"/>
      <c r="I179" s="8"/>
    </row>
    <row r="180" spans="1:9">
      <c r="A180" s="7">
        <v>46201</v>
      </c>
      <c r="B180" s="5" t="s">
        <v>40</v>
      </c>
      <c r="C180" s="5">
        <v>0</v>
      </c>
      <c r="D180" s="5">
        <v>0</v>
      </c>
      <c r="E180" s="5">
        <v>0</v>
      </c>
      <c r="F180" s="5">
        <v>0</v>
      </c>
      <c r="G180" s="6">
        <f t="shared" si="2"/>
        <v>0</v>
      </c>
      <c r="H180" s="93"/>
      <c r="I180" s="8"/>
    </row>
    <row r="181" spans="1:9">
      <c r="A181" s="7">
        <v>46202</v>
      </c>
      <c r="B181" s="5" t="s">
        <v>40</v>
      </c>
      <c r="C181" s="5">
        <v>0</v>
      </c>
      <c r="D181" s="5">
        <v>0</v>
      </c>
      <c r="E181" s="5">
        <v>0</v>
      </c>
      <c r="F181" s="5">
        <v>0</v>
      </c>
      <c r="G181" s="6">
        <f t="shared" si="2"/>
        <v>0</v>
      </c>
      <c r="H181" s="91">
        <f t="shared" ref="H181" si="10">SUM(G181:G187)</f>
        <v>0</v>
      </c>
      <c r="I181" s="8"/>
    </row>
    <row r="182" spans="1:9">
      <c r="A182" s="7">
        <v>46203</v>
      </c>
      <c r="B182" s="5" t="s">
        <v>40</v>
      </c>
      <c r="C182" s="5">
        <v>0</v>
      </c>
      <c r="D182" s="5">
        <v>0</v>
      </c>
      <c r="E182" s="5">
        <v>0</v>
      </c>
      <c r="F182" s="5">
        <v>0</v>
      </c>
      <c r="G182" s="6">
        <f t="shared" si="2"/>
        <v>0</v>
      </c>
      <c r="H182" s="92"/>
      <c r="I182" s="8"/>
    </row>
    <row r="183" spans="1:9">
      <c r="A183" s="7">
        <v>46204</v>
      </c>
      <c r="B183" s="5" t="s">
        <v>40</v>
      </c>
      <c r="C183" s="5">
        <v>0</v>
      </c>
      <c r="D183" s="5">
        <v>0</v>
      </c>
      <c r="E183" s="5">
        <v>0</v>
      </c>
      <c r="F183" s="5">
        <v>0</v>
      </c>
      <c r="G183" s="6">
        <f t="shared" si="2"/>
        <v>0</v>
      </c>
      <c r="H183" s="92"/>
      <c r="I183" s="8"/>
    </row>
    <row r="184" spans="1:9">
      <c r="A184" s="7">
        <v>46205</v>
      </c>
      <c r="B184" s="5" t="s">
        <v>40</v>
      </c>
      <c r="C184" s="5">
        <v>0</v>
      </c>
      <c r="D184" s="5">
        <v>0</v>
      </c>
      <c r="E184" s="5">
        <v>0</v>
      </c>
      <c r="F184" s="5">
        <v>0</v>
      </c>
      <c r="G184" s="6">
        <f t="shared" si="2"/>
        <v>0</v>
      </c>
      <c r="H184" s="92"/>
      <c r="I184" s="8"/>
    </row>
    <row r="185" spans="1:9">
      <c r="A185" s="7">
        <v>46206</v>
      </c>
      <c r="B185" s="5" t="s">
        <v>40</v>
      </c>
      <c r="C185" s="5">
        <v>0</v>
      </c>
      <c r="D185" s="5">
        <v>0</v>
      </c>
      <c r="E185" s="5">
        <v>0</v>
      </c>
      <c r="F185" s="5">
        <v>0</v>
      </c>
      <c r="G185" s="6">
        <f t="shared" si="2"/>
        <v>0</v>
      </c>
      <c r="H185" s="92"/>
      <c r="I185" s="8"/>
    </row>
    <row r="186" spans="1:9">
      <c r="A186" s="7">
        <v>46207</v>
      </c>
      <c r="B186" s="5" t="s">
        <v>40</v>
      </c>
      <c r="C186" s="5">
        <v>0</v>
      </c>
      <c r="D186" s="5">
        <v>0</v>
      </c>
      <c r="E186" s="5">
        <v>0</v>
      </c>
      <c r="F186" s="5">
        <v>0</v>
      </c>
      <c r="G186" s="6">
        <f t="shared" si="2"/>
        <v>0</v>
      </c>
      <c r="H186" s="92"/>
      <c r="I186" s="8"/>
    </row>
    <row r="187" spans="1:9">
      <c r="A187" s="7">
        <v>46208</v>
      </c>
      <c r="B187" s="5" t="s">
        <v>40</v>
      </c>
      <c r="C187" s="5">
        <v>0</v>
      </c>
      <c r="D187" s="5">
        <v>0</v>
      </c>
      <c r="E187" s="5">
        <v>0</v>
      </c>
      <c r="F187" s="5">
        <v>0</v>
      </c>
      <c r="G187" s="6">
        <f t="shared" si="2"/>
        <v>0</v>
      </c>
      <c r="H187" s="93"/>
      <c r="I187" s="8"/>
    </row>
    <row r="188" spans="1:9">
      <c r="A188" s="7">
        <v>46209</v>
      </c>
      <c r="B188" s="5" t="s">
        <v>40</v>
      </c>
      <c r="C188" s="5">
        <v>0</v>
      </c>
      <c r="D188" s="5">
        <v>0</v>
      </c>
      <c r="E188" s="5">
        <v>0</v>
      </c>
      <c r="F188" s="5">
        <v>0</v>
      </c>
      <c r="G188" s="6">
        <f t="shared" si="2"/>
        <v>0</v>
      </c>
      <c r="H188" s="91">
        <f t="shared" ref="H188" si="11">SUM(G188:G194)</f>
        <v>0</v>
      </c>
      <c r="I188" s="8"/>
    </row>
    <row r="189" spans="1:9">
      <c r="A189" s="7">
        <v>46210</v>
      </c>
      <c r="B189" s="5" t="s">
        <v>40</v>
      </c>
      <c r="C189" s="5">
        <v>0</v>
      </c>
      <c r="D189" s="5">
        <v>0</v>
      </c>
      <c r="E189" s="5">
        <v>0</v>
      </c>
      <c r="F189" s="5">
        <v>0</v>
      </c>
      <c r="G189" s="6">
        <f t="shared" si="2"/>
        <v>0</v>
      </c>
      <c r="H189" s="92"/>
      <c r="I189" s="8"/>
    </row>
    <row r="190" spans="1:9">
      <c r="A190" s="7">
        <v>46211</v>
      </c>
      <c r="B190" s="5" t="s">
        <v>40</v>
      </c>
      <c r="C190" s="5">
        <v>0</v>
      </c>
      <c r="D190" s="5">
        <v>0</v>
      </c>
      <c r="E190" s="5">
        <v>0</v>
      </c>
      <c r="F190" s="5">
        <v>0</v>
      </c>
      <c r="G190" s="6">
        <f t="shared" si="2"/>
        <v>0</v>
      </c>
      <c r="H190" s="92"/>
      <c r="I190" s="8"/>
    </row>
    <row r="191" spans="1:9">
      <c r="A191" s="7">
        <v>46212</v>
      </c>
      <c r="B191" s="5" t="s">
        <v>40</v>
      </c>
      <c r="C191" s="5">
        <v>0</v>
      </c>
      <c r="D191" s="5">
        <v>0</v>
      </c>
      <c r="E191" s="5">
        <v>0</v>
      </c>
      <c r="F191" s="5">
        <v>0</v>
      </c>
      <c r="G191" s="6">
        <f t="shared" si="2"/>
        <v>0</v>
      </c>
      <c r="H191" s="92"/>
      <c r="I191" s="8"/>
    </row>
    <row r="192" spans="1:9">
      <c r="A192" s="7">
        <v>46213</v>
      </c>
      <c r="B192" s="5" t="s">
        <v>40</v>
      </c>
      <c r="C192" s="5">
        <v>0</v>
      </c>
      <c r="D192" s="5">
        <v>0</v>
      </c>
      <c r="E192" s="5">
        <v>0</v>
      </c>
      <c r="F192" s="5">
        <v>0</v>
      </c>
      <c r="G192" s="6">
        <f t="shared" si="2"/>
        <v>0</v>
      </c>
      <c r="H192" s="92"/>
      <c r="I192" s="8"/>
    </row>
    <row r="193" spans="1:9">
      <c r="A193" s="7">
        <v>46214</v>
      </c>
      <c r="B193" s="5" t="s">
        <v>40</v>
      </c>
      <c r="C193" s="5">
        <v>0</v>
      </c>
      <c r="D193" s="5">
        <v>0</v>
      </c>
      <c r="E193" s="5">
        <v>0</v>
      </c>
      <c r="F193" s="5">
        <v>0</v>
      </c>
      <c r="G193" s="6">
        <f t="shared" si="2"/>
        <v>0</v>
      </c>
      <c r="H193" s="92"/>
      <c r="I193" s="8"/>
    </row>
    <row r="194" spans="1:9">
      <c r="A194" s="7">
        <v>46215</v>
      </c>
      <c r="B194" s="5" t="s">
        <v>40</v>
      </c>
      <c r="C194" s="5">
        <v>0</v>
      </c>
      <c r="D194" s="5">
        <v>0</v>
      </c>
      <c r="E194" s="5">
        <v>0</v>
      </c>
      <c r="F194" s="5">
        <v>0</v>
      </c>
      <c r="G194" s="6">
        <f t="shared" si="2"/>
        <v>0</v>
      </c>
      <c r="H194" s="93"/>
      <c r="I194" s="8"/>
    </row>
    <row r="195" spans="1:9">
      <c r="A195" s="7">
        <v>46216</v>
      </c>
      <c r="B195" s="5" t="s">
        <v>40</v>
      </c>
      <c r="C195" s="5">
        <v>0</v>
      </c>
      <c r="D195" s="5">
        <v>0</v>
      </c>
      <c r="E195" s="5">
        <v>0</v>
      </c>
      <c r="F195" s="5">
        <v>0</v>
      </c>
      <c r="G195" s="6">
        <f t="shared" ref="G195:G258" si="12">SUM(F195,E195,C195-D195)</f>
        <v>0</v>
      </c>
      <c r="H195" s="91">
        <f t="shared" ref="H195" si="13">SUM(G195:G201)</f>
        <v>0</v>
      </c>
      <c r="I195" s="8"/>
    </row>
    <row r="196" spans="1:9">
      <c r="A196" s="7">
        <v>46217</v>
      </c>
      <c r="B196" s="5" t="s">
        <v>40</v>
      </c>
      <c r="C196" s="5">
        <v>0</v>
      </c>
      <c r="D196" s="5">
        <v>0</v>
      </c>
      <c r="E196" s="5">
        <v>0</v>
      </c>
      <c r="F196" s="5">
        <v>0</v>
      </c>
      <c r="G196" s="6">
        <f t="shared" si="12"/>
        <v>0</v>
      </c>
      <c r="H196" s="92"/>
      <c r="I196" s="8"/>
    </row>
    <row r="197" spans="1:9">
      <c r="A197" s="7">
        <v>46218</v>
      </c>
      <c r="B197" s="5" t="s">
        <v>40</v>
      </c>
      <c r="C197" s="5">
        <v>0</v>
      </c>
      <c r="D197" s="5">
        <v>0</v>
      </c>
      <c r="E197" s="5">
        <v>0</v>
      </c>
      <c r="F197" s="5">
        <v>0</v>
      </c>
      <c r="G197" s="6">
        <f t="shared" si="12"/>
        <v>0</v>
      </c>
      <c r="H197" s="92"/>
      <c r="I197" s="8"/>
    </row>
    <row r="198" spans="1:9">
      <c r="A198" s="7">
        <v>46219</v>
      </c>
      <c r="B198" s="5" t="s">
        <v>40</v>
      </c>
      <c r="C198" s="5">
        <v>0</v>
      </c>
      <c r="D198" s="5">
        <v>0</v>
      </c>
      <c r="E198" s="5">
        <v>0</v>
      </c>
      <c r="F198" s="5">
        <v>0</v>
      </c>
      <c r="G198" s="6">
        <f t="shared" si="12"/>
        <v>0</v>
      </c>
      <c r="H198" s="92"/>
      <c r="I198" s="8"/>
    </row>
    <row r="199" spans="1:9">
      <c r="A199" s="7">
        <v>46220</v>
      </c>
      <c r="B199" s="5" t="s">
        <v>40</v>
      </c>
      <c r="C199" s="5">
        <v>0</v>
      </c>
      <c r="D199" s="5">
        <v>0</v>
      </c>
      <c r="E199" s="5">
        <v>0</v>
      </c>
      <c r="F199" s="5">
        <v>0</v>
      </c>
      <c r="G199" s="6">
        <f t="shared" si="12"/>
        <v>0</v>
      </c>
      <c r="H199" s="92"/>
      <c r="I199" s="8"/>
    </row>
    <row r="200" spans="1:9">
      <c r="A200" s="7">
        <v>46221</v>
      </c>
      <c r="B200" s="5" t="s">
        <v>40</v>
      </c>
      <c r="C200" s="5">
        <v>0</v>
      </c>
      <c r="D200" s="5">
        <v>0</v>
      </c>
      <c r="E200" s="5">
        <v>0</v>
      </c>
      <c r="F200" s="5">
        <v>0</v>
      </c>
      <c r="G200" s="6">
        <f t="shared" si="12"/>
        <v>0</v>
      </c>
      <c r="H200" s="92"/>
      <c r="I200" s="8"/>
    </row>
    <row r="201" spans="1:9">
      <c r="A201" s="7">
        <v>46222</v>
      </c>
      <c r="B201" s="5" t="s">
        <v>40</v>
      </c>
      <c r="C201" s="5">
        <v>0</v>
      </c>
      <c r="D201" s="5">
        <v>0</v>
      </c>
      <c r="E201" s="5">
        <v>0</v>
      </c>
      <c r="F201" s="5">
        <v>0</v>
      </c>
      <c r="G201" s="6">
        <f t="shared" si="12"/>
        <v>0</v>
      </c>
      <c r="H201" s="93"/>
      <c r="I201" s="8"/>
    </row>
    <row r="202" spans="1:9">
      <c r="A202" s="7">
        <v>46223</v>
      </c>
      <c r="B202" s="5" t="s">
        <v>40</v>
      </c>
      <c r="C202" s="5">
        <v>0</v>
      </c>
      <c r="D202" s="5">
        <v>0</v>
      </c>
      <c r="E202" s="5">
        <v>0</v>
      </c>
      <c r="F202" s="5">
        <v>0</v>
      </c>
      <c r="G202" s="6">
        <f t="shared" si="12"/>
        <v>0</v>
      </c>
      <c r="H202" s="91">
        <f t="shared" ref="H202" si="14">SUM(G202:G208)</f>
        <v>0</v>
      </c>
      <c r="I202" s="8"/>
    </row>
    <row r="203" spans="1:9">
      <c r="A203" s="7">
        <v>46224</v>
      </c>
      <c r="B203" s="5" t="s">
        <v>40</v>
      </c>
      <c r="C203" s="5">
        <v>0</v>
      </c>
      <c r="D203" s="5">
        <v>0</v>
      </c>
      <c r="E203" s="5">
        <v>0</v>
      </c>
      <c r="F203" s="5">
        <v>0</v>
      </c>
      <c r="G203" s="6">
        <f t="shared" si="12"/>
        <v>0</v>
      </c>
      <c r="H203" s="92"/>
      <c r="I203" s="8"/>
    </row>
    <row r="204" spans="1:9">
      <c r="A204" s="7">
        <v>46225</v>
      </c>
      <c r="B204" s="5" t="s">
        <v>40</v>
      </c>
      <c r="C204" s="5">
        <v>0</v>
      </c>
      <c r="D204" s="5">
        <v>0</v>
      </c>
      <c r="E204" s="5">
        <v>0</v>
      </c>
      <c r="F204" s="5">
        <v>0</v>
      </c>
      <c r="G204" s="6">
        <f t="shared" si="12"/>
        <v>0</v>
      </c>
      <c r="H204" s="92"/>
      <c r="I204" s="8"/>
    </row>
    <row r="205" spans="1:9">
      <c r="A205" s="7">
        <v>46226</v>
      </c>
      <c r="B205" s="5" t="s">
        <v>40</v>
      </c>
      <c r="C205" s="5">
        <v>0</v>
      </c>
      <c r="D205" s="5">
        <v>0</v>
      </c>
      <c r="E205" s="5">
        <v>0</v>
      </c>
      <c r="F205" s="5">
        <v>0</v>
      </c>
      <c r="G205" s="6">
        <f t="shared" si="12"/>
        <v>0</v>
      </c>
      <c r="H205" s="92"/>
      <c r="I205" s="8"/>
    </row>
    <row r="206" spans="1:9">
      <c r="A206" s="7">
        <v>46227</v>
      </c>
      <c r="B206" s="5" t="s">
        <v>40</v>
      </c>
      <c r="C206" s="5">
        <v>0</v>
      </c>
      <c r="D206" s="5">
        <v>0</v>
      </c>
      <c r="E206" s="5">
        <v>0</v>
      </c>
      <c r="F206" s="5">
        <v>0</v>
      </c>
      <c r="G206" s="6">
        <f t="shared" si="12"/>
        <v>0</v>
      </c>
      <c r="H206" s="92"/>
      <c r="I206" s="8"/>
    </row>
    <row r="207" spans="1:9">
      <c r="A207" s="7">
        <v>46228</v>
      </c>
      <c r="B207" s="5" t="s">
        <v>40</v>
      </c>
      <c r="C207" s="5">
        <v>0</v>
      </c>
      <c r="D207" s="5">
        <v>0</v>
      </c>
      <c r="E207" s="5">
        <v>0</v>
      </c>
      <c r="F207" s="5">
        <v>0</v>
      </c>
      <c r="G207" s="6">
        <f t="shared" si="12"/>
        <v>0</v>
      </c>
      <c r="H207" s="92"/>
      <c r="I207" s="8"/>
    </row>
    <row r="208" spans="1:9">
      <c r="A208" s="7">
        <v>46229</v>
      </c>
      <c r="B208" s="5" t="s">
        <v>40</v>
      </c>
      <c r="C208" s="5">
        <v>0</v>
      </c>
      <c r="D208" s="5">
        <v>0</v>
      </c>
      <c r="E208" s="5">
        <v>0</v>
      </c>
      <c r="F208" s="5">
        <v>0</v>
      </c>
      <c r="G208" s="6">
        <f t="shared" si="12"/>
        <v>0</v>
      </c>
      <c r="H208" s="93"/>
      <c r="I208" s="8"/>
    </row>
    <row r="209" spans="1:9">
      <c r="A209" s="7">
        <v>46230</v>
      </c>
      <c r="B209" s="5" t="s">
        <v>40</v>
      </c>
      <c r="C209" s="5">
        <v>0</v>
      </c>
      <c r="D209" s="5">
        <v>0</v>
      </c>
      <c r="E209" s="5">
        <v>0</v>
      </c>
      <c r="F209" s="5">
        <v>0</v>
      </c>
      <c r="G209" s="6">
        <f t="shared" si="12"/>
        <v>0</v>
      </c>
      <c r="H209" s="91">
        <f t="shared" ref="H209" si="15">SUM(G209:G215)</f>
        <v>0</v>
      </c>
      <c r="I209" s="8"/>
    </row>
    <row r="210" spans="1:9">
      <c r="A210" s="7">
        <v>46231</v>
      </c>
      <c r="B210" s="5" t="s">
        <v>40</v>
      </c>
      <c r="C210" s="5">
        <v>0</v>
      </c>
      <c r="D210" s="5">
        <v>0</v>
      </c>
      <c r="E210" s="5">
        <v>0</v>
      </c>
      <c r="F210" s="5">
        <v>0</v>
      </c>
      <c r="G210" s="6">
        <f t="shared" si="12"/>
        <v>0</v>
      </c>
      <c r="H210" s="92"/>
      <c r="I210" s="8"/>
    </row>
    <row r="211" spans="1:9">
      <c r="A211" s="7">
        <v>46232</v>
      </c>
      <c r="B211" s="5" t="s">
        <v>40</v>
      </c>
      <c r="C211" s="5">
        <v>0</v>
      </c>
      <c r="D211" s="5">
        <v>0</v>
      </c>
      <c r="E211" s="5">
        <v>0</v>
      </c>
      <c r="F211" s="5">
        <v>0</v>
      </c>
      <c r="G211" s="6">
        <f t="shared" si="12"/>
        <v>0</v>
      </c>
      <c r="H211" s="92"/>
      <c r="I211" s="8"/>
    </row>
    <row r="212" spans="1:9">
      <c r="A212" s="7">
        <v>46233</v>
      </c>
      <c r="B212" s="5" t="s">
        <v>40</v>
      </c>
      <c r="C212" s="5">
        <v>0</v>
      </c>
      <c r="D212" s="5">
        <v>0</v>
      </c>
      <c r="E212" s="5">
        <v>0</v>
      </c>
      <c r="F212" s="5">
        <v>0</v>
      </c>
      <c r="G212" s="6">
        <f t="shared" si="12"/>
        <v>0</v>
      </c>
      <c r="H212" s="92"/>
      <c r="I212" s="8"/>
    </row>
    <row r="213" spans="1:9">
      <c r="A213" s="7">
        <v>46234</v>
      </c>
      <c r="B213" s="5" t="s">
        <v>40</v>
      </c>
      <c r="C213" s="5">
        <v>0</v>
      </c>
      <c r="D213" s="5">
        <v>0</v>
      </c>
      <c r="E213" s="5">
        <v>0</v>
      </c>
      <c r="F213" s="5">
        <v>0</v>
      </c>
      <c r="G213" s="6">
        <f t="shared" si="12"/>
        <v>0</v>
      </c>
      <c r="H213" s="92"/>
      <c r="I213" s="8"/>
    </row>
    <row r="214" spans="1:9">
      <c r="A214" s="7">
        <v>46235</v>
      </c>
      <c r="B214" s="5" t="s">
        <v>40</v>
      </c>
      <c r="C214" s="5">
        <v>0</v>
      </c>
      <c r="D214" s="5">
        <v>0</v>
      </c>
      <c r="E214" s="5">
        <v>0</v>
      </c>
      <c r="F214" s="5">
        <v>0</v>
      </c>
      <c r="G214" s="6">
        <f t="shared" si="12"/>
        <v>0</v>
      </c>
      <c r="H214" s="92"/>
      <c r="I214" s="8"/>
    </row>
    <row r="215" spans="1:9">
      <c r="A215" s="7">
        <v>46236</v>
      </c>
      <c r="B215" s="5" t="s">
        <v>40</v>
      </c>
      <c r="C215" s="5">
        <v>0</v>
      </c>
      <c r="D215" s="5">
        <v>0</v>
      </c>
      <c r="E215" s="5">
        <v>0</v>
      </c>
      <c r="F215" s="5">
        <v>0</v>
      </c>
      <c r="G215" s="6">
        <f t="shared" si="12"/>
        <v>0</v>
      </c>
      <c r="H215" s="93"/>
      <c r="I215" s="8"/>
    </row>
    <row r="216" spans="1:9">
      <c r="A216" s="7">
        <v>46237</v>
      </c>
      <c r="B216" s="5" t="s">
        <v>40</v>
      </c>
      <c r="C216" s="5">
        <v>0</v>
      </c>
      <c r="D216" s="5">
        <v>0</v>
      </c>
      <c r="E216" s="5">
        <v>0</v>
      </c>
      <c r="F216" s="5">
        <v>0</v>
      </c>
      <c r="G216" s="6">
        <f t="shared" si="12"/>
        <v>0</v>
      </c>
      <c r="H216" s="91">
        <f t="shared" ref="H216" si="16">SUM(G216:G222)</f>
        <v>0</v>
      </c>
      <c r="I216" s="8"/>
    </row>
    <row r="217" spans="1:9">
      <c r="A217" s="7">
        <v>46238</v>
      </c>
      <c r="B217" s="5" t="s">
        <v>40</v>
      </c>
      <c r="C217" s="5">
        <v>0</v>
      </c>
      <c r="D217" s="5">
        <v>0</v>
      </c>
      <c r="E217" s="5">
        <v>0</v>
      </c>
      <c r="F217" s="5">
        <v>0</v>
      </c>
      <c r="G217" s="6">
        <f t="shared" si="12"/>
        <v>0</v>
      </c>
      <c r="H217" s="92"/>
      <c r="I217" s="8"/>
    </row>
    <row r="218" spans="1:9">
      <c r="A218" s="7">
        <v>46239</v>
      </c>
      <c r="B218" s="5" t="s">
        <v>40</v>
      </c>
      <c r="C218" s="5">
        <v>0</v>
      </c>
      <c r="D218" s="5">
        <v>0</v>
      </c>
      <c r="E218" s="5">
        <v>0</v>
      </c>
      <c r="F218" s="5">
        <v>0</v>
      </c>
      <c r="G218" s="6">
        <f t="shared" si="12"/>
        <v>0</v>
      </c>
      <c r="H218" s="92"/>
      <c r="I218" s="8"/>
    </row>
    <row r="219" spans="1:9">
      <c r="A219" s="7">
        <v>46240</v>
      </c>
      <c r="B219" s="5" t="s">
        <v>40</v>
      </c>
      <c r="C219" s="5">
        <v>0</v>
      </c>
      <c r="D219" s="5">
        <v>0</v>
      </c>
      <c r="E219" s="5">
        <v>0</v>
      </c>
      <c r="F219" s="5">
        <v>0</v>
      </c>
      <c r="G219" s="6">
        <f t="shared" si="12"/>
        <v>0</v>
      </c>
      <c r="H219" s="92"/>
      <c r="I219" s="8"/>
    </row>
    <row r="220" spans="1:9">
      <c r="A220" s="7">
        <v>46241</v>
      </c>
      <c r="B220" s="5" t="s">
        <v>40</v>
      </c>
      <c r="C220" s="5">
        <v>0</v>
      </c>
      <c r="D220" s="5">
        <v>0</v>
      </c>
      <c r="E220" s="5">
        <v>0</v>
      </c>
      <c r="F220" s="5">
        <v>0</v>
      </c>
      <c r="G220" s="6">
        <f t="shared" si="12"/>
        <v>0</v>
      </c>
      <c r="H220" s="92"/>
      <c r="I220" s="8"/>
    </row>
    <row r="221" spans="1:9">
      <c r="A221" s="7">
        <v>46242</v>
      </c>
      <c r="B221" s="5" t="s">
        <v>40</v>
      </c>
      <c r="C221" s="5">
        <v>0</v>
      </c>
      <c r="D221" s="5">
        <v>0</v>
      </c>
      <c r="E221" s="5">
        <v>0</v>
      </c>
      <c r="F221" s="5">
        <v>0</v>
      </c>
      <c r="G221" s="6">
        <f t="shared" si="12"/>
        <v>0</v>
      </c>
      <c r="H221" s="92"/>
      <c r="I221" s="8"/>
    </row>
    <row r="222" spans="1:9">
      <c r="A222" s="7">
        <v>46243</v>
      </c>
      <c r="B222" s="5" t="s">
        <v>40</v>
      </c>
      <c r="C222" s="5">
        <v>0</v>
      </c>
      <c r="D222" s="5">
        <v>0</v>
      </c>
      <c r="E222" s="5">
        <v>0</v>
      </c>
      <c r="F222" s="5">
        <v>0</v>
      </c>
      <c r="G222" s="6">
        <f t="shared" si="12"/>
        <v>0</v>
      </c>
      <c r="H222" s="93"/>
      <c r="I222" s="8"/>
    </row>
    <row r="223" spans="1:9">
      <c r="A223" s="7">
        <v>46244</v>
      </c>
      <c r="B223" s="5" t="s">
        <v>40</v>
      </c>
      <c r="C223" s="5">
        <v>0</v>
      </c>
      <c r="D223" s="5">
        <v>0</v>
      </c>
      <c r="E223" s="5">
        <v>0</v>
      </c>
      <c r="F223" s="5">
        <v>0</v>
      </c>
      <c r="G223" s="6">
        <f t="shared" si="12"/>
        <v>0</v>
      </c>
      <c r="H223" s="91">
        <f t="shared" ref="H223" si="17">SUM(G223:G229)</f>
        <v>0</v>
      </c>
      <c r="I223" s="8"/>
    </row>
    <row r="224" spans="1:9">
      <c r="A224" s="7">
        <v>46245</v>
      </c>
      <c r="B224" s="5" t="s">
        <v>40</v>
      </c>
      <c r="C224" s="5">
        <v>0</v>
      </c>
      <c r="D224" s="5">
        <v>0</v>
      </c>
      <c r="E224" s="5">
        <v>0</v>
      </c>
      <c r="F224" s="5">
        <v>0</v>
      </c>
      <c r="G224" s="6">
        <f t="shared" si="12"/>
        <v>0</v>
      </c>
      <c r="H224" s="92"/>
      <c r="I224" s="8"/>
    </row>
    <row r="225" spans="1:9">
      <c r="A225" s="7">
        <v>46246</v>
      </c>
      <c r="B225" s="5" t="s">
        <v>40</v>
      </c>
      <c r="C225" s="5">
        <v>0</v>
      </c>
      <c r="D225" s="5">
        <v>0</v>
      </c>
      <c r="E225" s="5">
        <v>0</v>
      </c>
      <c r="F225" s="5">
        <v>0</v>
      </c>
      <c r="G225" s="6">
        <f t="shared" si="12"/>
        <v>0</v>
      </c>
      <c r="H225" s="92"/>
      <c r="I225" s="8"/>
    </row>
    <row r="226" spans="1:9">
      <c r="A226" s="7">
        <v>46247</v>
      </c>
      <c r="B226" s="5" t="s">
        <v>40</v>
      </c>
      <c r="C226" s="5">
        <v>0</v>
      </c>
      <c r="D226" s="5">
        <v>0</v>
      </c>
      <c r="E226" s="5">
        <v>0</v>
      </c>
      <c r="F226" s="5">
        <v>0</v>
      </c>
      <c r="G226" s="6">
        <f t="shared" si="12"/>
        <v>0</v>
      </c>
      <c r="H226" s="92"/>
      <c r="I226" s="8"/>
    </row>
    <row r="227" spans="1:9">
      <c r="A227" s="7">
        <v>46248</v>
      </c>
      <c r="B227" s="5" t="s">
        <v>40</v>
      </c>
      <c r="C227" s="5">
        <v>0</v>
      </c>
      <c r="D227" s="5">
        <v>0</v>
      </c>
      <c r="E227" s="5">
        <v>0</v>
      </c>
      <c r="F227" s="5">
        <v>0</v>
      </c>
      <c r="G227" s="6">
        <f t="shared" si="12"/>
        <v>0</v>
      </c>
      <c r="H227" s="92"/>
      <c r="I227" s="8"/>
    </row>
    <row r="228" spans="1:9">
      <c r="A228" s="7">
        <v>46249</v>
      </c>
      <c r="B228" s="5" t="s">
        <v>40</v>
      </c>
      <c r="C228" s="5">
        <v>0</v>
      </c>
      <c r="D228" s="5">
        <v>0</v>
      </c>
      <c r="E228" s="5">
        <v>0</v>
      </c>
      <c r="F228" s="5">
        <v>0</v>
      </c>
      <c r="G228" s="6">
        <f t="shared" si="12"/>
        <v>0</v>
      </c>
      <c r="H228" s="92"/>
      <c r="I228" s="8"/>
    </row>
    <row r="229" spans="1:9">
      <c r="A229" s="7">
        <v>46250</v>
      </c>
      <c r="B229" s="5" t="s">
        <v>40</v>
      </c>
      <c r="C229" s="5">
        <v>0</v>
      </c>
      <c r="D229" s="5">
        <v>0</v>
      </c>
      <c r="E229" s="5">
        <v>0</v>
      </c>
      <c r="F229" s="5">
        <v>0</v>
      </c>
      <c r="G229" s="6">
        <f t="shared" si="12"/>
        <v>0</v>
      </c>
      <c r="H229" s="93"/>
      <c r="I229" s="8"/>
    </row>
    <row r="230" spans="1:9">
      <c r="A230" s="7">
        <v>46251</v>
      </c>
      <c r="B230" s="5" t="s">
        <v>40</v>
      </c>
      <c r="C230" s="5">
        <v>0</v>
      </c>
      <c r="D230" s="5">
        <v>0</v>
      </c>
      <c r="E230" s="5">
        <v>0</v>
      </c>
      <c r="F230" s="5">
        <v>0</v>
      </c>
      <c r="G230" s="6">
        <f t="shared" si="12"/>
        <v>0</v>
      </c>
      <c r="H230" s="91">
        <f t="shared" ref="H230" si="18">SUM(G230:G236)</f>
        <v>0</v>
      </c>
      <c r="I230" s="8"/>
    </row>
    <row r="231" spans="1:9">
      <c r="A231" s="7">
        <v>46252</v>
      </c>
      <c r="B231" s="5" t="s">
        <v>40</v>
      </c>
      <c r="C231" s="5">
        <v>0</v>
      </c>
      <c r="D231" s="5">
        <v>0</v>
      </c>
      <c r="E231" s="5">
        <v>0</v>
      </c>
      <c r="F231" s="5">
        <v>0</v>
      </c>
      <c r="G231" s="6">
        <f t="shared" si="12"/>
        <v>0</v>
      </c>
      <c r="H231" s="92"/>
      <c r="I231" s="8"/>
    </row>
    <row r="232" spans="1:9">
      <c r="A232" s="7">
        <v>46253</v>
      </c>
      <c r="B232" s="5" t="s">
        <v>40</v>
      </c>
      <c r="C232" s="5">
        <v>0</v>
      </c>
      <c r="D232" s="5">
        <v>0</v>
      </c>
      <c r="E232" s="5">
        <v>0</v>
      </c>
      <c r="F232" s="5">
        <v>0</v>
      </c>
      <c r="G232" s="6">
        <f t="shared" si="12"/>
        <v>0</v>
      </c>
      <c r="H232" s="92"/>
      <c r="I232" s="8"/>
    </row>
    <row r="233" spans="1:9">
      <c r="A233" s="7">
        <v>46254</v>
      </c>
      <c r="B233" s="5" t="s">
        <v>40</v>
      </c>
      <c r="C233" s="5">
        <v>0</v>
      </c>
      <c r="D233" s="5">
        <v>0</v>
      </c>
      <c r="E233" s="5">
        <v>0</v>
      </c>
      <c r="F233" s="5">
        <v>0</v>
      </c>
      <c r="G233" s="6">
        <f t="shared" si="12"/>
        <v>0</v>
      </c>
      <c r="H233" s="92"/>
      <c r="I233" s="8"/>
    </row>
    <row r="234" spans="1:9">
      <c r="A234" s="7">
        <v>46255</v>
      </c>
      <c r="B234" s="5" t="s">
        <v>40</v>
      </c>
      <c r="C234" s="5">
        <v>0</v>
      </c>
      <c r="D234" s="5">
        <v>0</v>
      </c>
      <c r="E234" s="5">
        <v>0</v>
      </c>
      <c r="F234" s="5">
        <v>0</v>
      </c>
      <c r="G234" s="6">
        <f t="shared" si="12"/>
        <v>0</v>
      </c>
      <c r="H234" s="92"/>
      <c r="I234" s="8"/>
    </row>
    <row r="235" spans="1:9">
      <c r="A235" s="7">
        <v>46256</v>
      </c>
      <c r="B235" s="5" t="s">
        <v>40</v>
      </c>
      <c r="C235" s="5">
        <v>0</v>
      </c>
      <c r="D235" s="5">
        <v>0</v>
      </c>
      <c r="E235" s="5">
        <v>0</v>
      </c>
      <c r="F235" s="5">
        <v>0</v>
      </c>
      <c r="G235" s="6">
        <f t="shared" si="12"/>
        <v>0</v>
      </c>
      <c r="H235" s="92"/>
      <c r="I235" s="8"/>
    </row>
    <row r="236" spans="1:9">
      <c r="A236" s="7">
        <v>46257</v>
      </c>
      <c r="B236" s="5" t="s">
        <v>40</v>
      </c>
      <c r="C236" s="5">
        <v>0</v>
      </c>
      <c r="D236" s="5">
        <v>0</v>
      </c>
      <c r="E236" s="5">
        <v>0</v>
      </c>
      <c r="F236" s="5">
        <v>0</v>
      </c>
      <c r="G236" s="6">
        <f t="shared" si="12"/>
        <v>0</v>
      </c>
      <c r="H236" s="93"/>
      <c r="I236" s="8"/>
    </row>
    <row r="237" spans="1:9">
      <c r="A237" s="7">
        <v>46258</v>
      </c>
      <c r="B237" s="5" t="s">
        <v>40</v>
      </c>
      <c r="C237" s="5">
        <v>0</v>
      </c>
      <c r="D237" s="5">
        <v>0</v>
      </c>
      <c r="E237" s="5">
        <v>0</v>
      </c>
      <c r="F237" s="5">
        <v>0</v>
      </c>
      <c r="G237" s="6">
        <f t="shared" si="12"/>
        <v>0</v>
      </c>
      <c r="H237" s="91">
        <f t="shared" ref="H237" si="19">SUM(G237:G243)</f>
        <v>0</v>
      </c>
      <c r="I237" s="8"/>
    </row>
    <row r="238" spans="1:9">
      <c r="A238" s="7">
        <v>46259</v>
      </c>
      <c r="B238" s="5" t="s">
        <v>40</v>
      </c>
      <c r="C238" s="5">
        <v>0</v>
      </c>
      <c r="D238" s="5">
        <v>0</v>
      </c>
      <c r="E238" s="5">
        <v>0</v>
      </c>
      <c r="F238" s="5">
        <v>0</v>
      </c>
      <c r="G238" s="6">
        <f t="shared" si="12"/>
        <v>0</v>
      </c>
      <c r="H238" s="92"/>
      <c r="I238" s="8"/>
    </row>
    <row r="239" spans="1:9">
      <c r="A239" s="7">
        <v>46260</v>
      </c>
      <c r="B239" s="5" t="s">
        <v>40</v>
      </c>
      <c r="C239" s="5">
        <v>0</v>
      </c>
      <c r="D239" s="5">
        <v>0</v>
      </c>
      <c r="E239" s="5">
        <v>0</v>
      </c>
      <c r="F239" s="5">
        <v>0</v>
      </c>
      <c r="G239" s="6">
        <f t="shared" si="12"/>
        <v>0</v>
      </c>
      <c r="H239" s="92"/>
      <c r="I239" s="8"/>
    </row>
    <row r="240" spans="1:9">
      <c r="A240" s="7">
        <v>46261</v>
      </c>
      <c r="B240" s="5" t="s">
        <v>40</v>
      </c>
      <c r="C240" s="5">
        <v>0</v>
      </c>
      <c r="D240" s="5">
        <v>0</v>
      </c>
      <c r="E240" s="5">
        <v>0</v>
      </c>
      <c r="F240" s="5">
        <v>0</v>
      </c>
      <c r="G240" s="6">
        <f t="shared" si="12"/>
        <v>0</v>
      </c>
      <c r="H240" s="92"/>
      <c r="I240" s="8"/>
    </row>
    <row r="241" spans="1:9">
      <c r="A241" s="7">
        <v>46262</v>
      </c>
      <c r="B241" s="5" t="s">
        <v>40</v>
      </c>
      <c r="C241" s="5">
        <v>0</v>
      </c>
      <c r="D241" s="5">
        <v>0</v>
      </c>
      <c r="E241" s="5">
        <v>0</v>
      </c>
      <c r="F241" s="5">
        <v>0</v>
      </c>
      <c r="G241" s="6">
        <f t="shared" si="12"/>
        <v>0</v>
      </c>
      <c r="H241" s="92"/>
      <c r="I241" s="8"/>
    </row>
    <row r="242" spans="1:9">
      <c r="A242" s="7">
        <v>46263</v>
      </c>
      <c r="B242" s="5" t="s">
        <v>40</v>
      </c>
      <c r="C242" s="5">
        <v>0</v>
      </c>
      <c r="D242" s="5">
        <v>0</v>
      </c>
      <c r="E242" s="5">
        <v>0</v>
      </c>
      <c r="F242" s="5">
        <v>0</v>
      </c>
      <c r="G242" s="6">
        <f t="shared" si="12"/>
        <v>0</v>
      </c>
      <c r="H242" s="92"/>
      <c r="I242" s="8"/>
    </row>
    <row r="243" spans="1:9">
      <c r="A243" s="7">
        <v>46264</v>
      </c>
      <c r="B243" s="5" t="s">
        <v>40</v>
      </c>
      <c r="C243" s="5">
        <v>0</v>
      </c>
      <c r="D243" s="5">
        <v>0</v>
      </c>
      <c r="E243" s="5">
        <v>0</v>
      </c>
      <c r="F243" s="5">
        <v>0</v>
      </c>
      <c r="G243" s="6">
        <f t="shared" si="12"/>
        <v>0</v>
      </c>
      <c r="H243" s="93"/>
      <c r="I243" s="8"/>
    </row>
    <row r="244" spans="1:9">
      <c r="A244" s="7">
        <v>46265</v>
      </c>
      <c r="B244" s="5" t="s">
        <v>40</v>
      </c>
      <c r="C244" s="5">
        <v>0</v>
      </c>
      <c r="D244" s="5">
        <v>0</v>
      </c>
      <c r="E244" s="5">
        <v>0</v>
      </c>
      <c r="F244" s="5">
        <v>0</v>
      </c>
      <c r="G244" s="6">
        <f t="shared" si="12"/>
        <v>0</v>
      </c>
      <c r="H244" s="91">
        <f t="shared" ref="H244" si="20">SUM(G244:G250)</f>
        <v>0</v>
      </c>
      <c r="I244" s="8"/>
    </row>
    <row r="245" spans="1:9">
      <c r="A245" s="7">
        <v>46266</v>
      </c>
      <c r="B245" s="5" t="s">
        <v>40</v>
      </c>
      <c r="C245" s="5">
        <v>0</v>
      </c>
      <c r="D245" s="5">
        <v>0</v>
      </c>
      <c r="E245" s="5">
        <v>0</v>
      </c>
      <c r="F245" s="5">
        <v>0</v>
      </c>
      <c r="G245" s="6">
        <f t="shared" si="12"/>
        <v>0</v>
      </c>
      <c r="H245" s="92"/>
      <c r="I245" s="8"/>
    </row>
    <row r="246" spans="1:9">
      <c r="A246" s="7">
        <v>46267</v>
      </c>
      <c r="B246" s="5" t="s">
        <v>40</v>
      </c>
      <c r="C246" s="5">
        <v>0</v>
      </c>
      <c r="D246" s="5">
        <v>0</v>
      </c>
      <c r="E246" s="5">
        <v>0</v>
      </c>
      <c r="F246" s="5">
        <v>0</v>
      </c>
      <c r="G246" s="6">
        <f t="shared" si="12"/>
        <v>0</v>
      </c>
      <c r="H246" s="92"/>
      <c r="I246" s="8"/>
    </row>
    <row r="247" spans="1:9">
      <c r="A247" s="7">
        <v>46268</v>
      </c>
      <c r="B247" s="5" t="s">
        <v>40</v>
      </c>
      <c r="C247" s="5">
        <v>0</v>
      </c>
      <c r="D247" s="5">
        <v>0</v>
      </c>
      <c r="E247" s="5">
        <v>0</v>
      </c>
      <c r="F247" s="5">
        <v>0</v>
      </c>
      <c r="G247" s="6">
        <f t="shared" si="12"/>
        <v>0</v>
      </c>
      <c r="H247" s="92"/>
      <c r="I247" s="8"/>
    </row>
    <row r="248" spans="1:9">
      <c r="A248" s="7">
        <v>46269</v>
      </c>
      <c r="B248" s="5" t="s">
        <v>40</v>
      </c>
      <c r="C248" s="5">
        <v>0</v>
      </c>
      <c r="D248" s="5">
        <v>0</v>
      </c>
      <c r="E248" s="5">
        <v>0</v>
      </c>
      <c r="F248" s="5">
        <v>0</v>
      </c>
      <c r="G248" s="6">
        <f t="shared" si="12"/>
        <v>0</v>
      </c>
      <c r="H248" s="92"/>
      <c r="I248" s="8"/>
    </row>
    <row r="249" spans="1:9">
      <c r="A249" s="7">
        <v>46270</v>
      </c>
      <c r="B249" s="5" t="s">
        <v>40</v>
      </c>
      <c r="C249" s="5">
        <v>0</v>
      </c>
      <c r="D249" s="5">
        <v>0</v>
      </c>
      <c r="E249" s="5">
        <v>0</v>
      </c>
      <c r="F249" s="5">
        <v>0</v>
      </c>
      <c r="G249" s="6">
        <f t="shared" si="12"/>
        <v>0</v>
      </c>
      <c r="H249" s="92"/>
      <c r="I249" s="8"/>
    </row>
    <row r="250" spans="1:9">
      <c r="A250" s="7">
        <v>46271</v>
      </c>
      <c r="B250" s="5" t="s">
        <v>40</v>
      </c>
      <c r="C250" s="5">
        <v>0</v>
      </c>
      <c r="D250" s="5">
        <v>0</v>
      </c>
      <c r="E250" s="5">
        <v>0</v>
      </c>
      <c r="F250" s="5">
        <v>0</v>
      </c>
      <c r="G250" s="6">
        <f t="shared" si="12"/>
        <v>0</v>
      </c>
      <c r="H250" s="93"/>
      <c r="I250" s="8"/>
    </row>
    <row r="251" spans="1:9">
      <c r="A251" s="7">
        <v>46272</v>
      </c>
      <c r="B251" s="5" t="s">
        <v>40</v>
      </c>
      <c r="C251" s="5">
        <v>0</v>
      </c>
      <c r="D251" s="5">
        <v>0</v>
      </c>
      <c r="E251" s="5">
        <v>0</v>
      </c>
      <c r="F251" s="5">
        <v>0</v>
      </c>
      <c r="G251" s="6">
        <f t="shared" si="12"/>
        <v>0</v>
      </c>
      <c r="H251" s="91">
        <f t="shared" ref="H251" si="21">SUM(G251:G257)</f>
        <v>0</v>
      </c>
      <c r="I251" s="8"/>
    </row>
    <row r="252" spans="1:9">
      <c r="A252" s="7">
        <v>46273</v>
      </c>
      <c r="B252" s="5" t="s">
        <v>40</v>
      </c>
      <c r="C252" s="5">
        <v>0</v>
      </c>
      <c r="D252" s="5">
        <v>0</v>
      </c>
      <c r="E252" s="5">
        <v>0</v>
      </c>
      <c r="F252" s="5">
        <v>0</v>
      </c>
      <c r="G252" s="6">
        <f t="shared" si="12"/>
        <v>0</v>
      </c>
      <c r="H252" s="92"/>
      <c r="I252" s="8"/>
    </row>
    <row r="253" spans="1:9">
      <c r="A253" s="7">
        <v>46274</v>
      </c>
      <c r="B253" s="5" t="s">
        <v>40</v>
      </c>
      <c r="C253" s="5">
        <v>0</v>
      </c>
      <c r="D253" s="5">
        <v>0</v>
      </c>
      <c r="E253" s="5">
        <v>0</v>
      </c>
      <c r="F253" s="5">
        <v>0</v>
      </c>
      <c r="G253" s="6">
        <f t="shared" si="12"/>
        <v>0</v>
      </c>
      <c r="H253" s="92"/>
      <c r="I253" s="8"/>
    </row>
    <row r="254" spans="1:9">
      <c r="A254" s="7">
        <v>46275</v>
      </c>
      <c r="B254" s="5" t="s">
        <v>40</v>
      </c>
      <c r="C254" s="5">
        <v>0</v>
      </c>
      <c r="D254" s="5">
        <v>0</v>
      </c>
      <c r="E254" s="5">
        <v>0</v>
      </c>
      <c r="F254" s="5">
        <v>0</v>
      </c>
      <c r="G254" s="6">
        <f t="shared" si="12"/>
        <v>0</v>
      </c>
      <c r="H254" s="92"/>
      <c r="I254" s="8"/>
    </row>
    <row r="255" spans="1:9">
      <c r="A255" s="7">
        <v>46276</v>
      </c>
      <c r="B255" s="5" t="s">
        <v>40</v>
      </c>
      <c r="C255" s="5">
        <v>0</v>
      </c>
      <c r="D255" s="5">
        <v>0</v>
      </c>
      <c r="E255" s="5">
        <v>0</v>
      </c>
      <c r="F255" s="5">
        <v>0</v>
      </c>
      <c r="G255" s="6">
        <f t="shared" si="12"/>
        <v>0</v>
      </c>
      <c r="H255" s="92"/>
      <c r="I255" s="8"/>
    </row>
    <row r="256" spans="1:9">
      <c r="A256" s="7">
        <v>46277</v>
      </c>
      <c r="B256" s="5" t="s">
        <v>40</v>
      </c>
      <c r="C256" s="5">
        <v>0</v>
      </c>
      <c r="D256" s="5">
        <v>0</v>
      </c>
      <c r="E256" s="5">
        <v>0</v>
      </c>
      <c r="F256" s="5">
        <v>0</v>
      </c>
      <c r="G256" s="6">
        <f t="shared" si="12"/>
        <v>0</v>
      </c>
      <c r="H256" s="92"/>
      <c r="I256" s="8"/>
    </row>
    <row r="257" spans="1:9">
      <c r="A257" s="7">
        <v>46278</v>
      </c>
      <c r="B257" s="5" t="s">
        <v>40</v>
      </c>
      <c r="C257" s="5">
        <v>0</v>
      </c>
      <c r="D257" s="5">
        <v>0</v>
      </c>
      <c r="E257" s="5">
        <v>0</v>
      </c>
      <c r="F257" s="5">
        <v>0</v>
      </c>
      <c r="G257" s="6">
        <f t="shared" si="12"/>
        <v>0</v>
      </c>
      <c r="H257" s="93"/>
      <c r="I257" s="8"/>
    </row>
    <row r="258" spans="1:9">
      <c r="A258" s="7">
        <v>46279</v>
      </c>
      <c r="B258" s="5" t="s">
        <v>40</v>
      </c>
      <c r="C258" s="5">
        <v>0</v>
      </c>
      <c r="D258" s="5">
        <v>0</v>
      </c>
      <c r="E258" s="5">
        <v>0</v>
      </c>
      <c r="F258" s="5">
        <v>0</v>
      </c>
      <c r="G258" s="6">
        <f t="shared" si="12"/>
        <v>0</v>
      </c>
      <c r="H258" s="91">
        <f t="shared" ref="H258" si="22">SUM(G258:G264)</f>
        <v>0</v>
      </c>
      <c r="I258" s="8"/>
    </row>
    <row r="259" spans="1:9">
      <c r="A259" s="7">
        <v>46280</v>
      </c>
      <c r="B259" s="5" t="s">
        <v>40</v>
      </c>
      <c r="C259" s="5">
        <v>0</v>
      </c>
      <c r="D259" s="5">
        <v>0</v>
      </c>
      <c r="E259" s="5">
        <v>0</v>
      </c>
      <c r="F259" s="5">
        <v>0</v>
      </c>
      <c r="G259" s="6">
        <f t="shared" ref="G259:G322" si="23">SUM(F259,E259,C259-D259)</f>
        <v>0</v>
      </c>
      <c r="H259" s="92"/>
      <c r="I259" s="8"/>
    </row>
    <row r="260" spans="1:9">
      <c r="A260" s="7">
        <v>46281</v>
      </c>
      <c r="B260" s="5" t="s">
        <v>40</v>
      </c>
      <c r="C260" s="5">
        <v>0</v>
      </c>
      <c r="D260" s="5">
        <v>0</v>
      </c>
      <c r="E260" s="5">
        <v>0</v>
      </c>
      <c r="F260" s="5">
        <v>0</v>
      </c>
      <c r="G260" s="6">
        <f t="shared" si="23"/>
        <v>0</v>
      </c>
      <c r="H260" s="92"/>
      <c r="I260" s="8"/>
    </row>
    <row r="261" spans="1:9">
      <c r="A261" s="7">
        <v>46282</v>
      </c>
      <c r="B261" s="5" t="s">
        <v>40</v>
      </c>
      <c r="C261" s="5">
        <v>0</v>
      </c>
      <c r="D261" s="5">
        <v>0</v>
      </c>
      <c r="E261" s="5">
        <v>0</v>
      </c>
      <c r="F261" s="5">
        <v>0</v>
      </c>
      <c r="G261" s="6">
        <f t="shared" si="23"/>
        <v>0</v>
      </c>
      <c r="H261" s="92"/>
      <c r="I261" s="8"/>
    </row>
    <row r="262" spans="1:9">
      <c r="A262" s="7">
        <v>46283</v>
      </c>
      <c r="B262" s="5" t="s">
        <v>40</v>
      </c>
      <c r="C262" s="5">
        <v>0</v>
      </c>
      <c r="D262" s="5">
        <v>0</v>
      </c>
      <c r="E262" s="5">
        <v>0</v>
      </c>
      <c r="F262" s="5">
        <v>0</v>
      </c>
      <c r="G262" s="6">
        <f t="shared" si="23"/>
        <v>0</v>
      </c>
      <c r="H262" s="92"/>
      <c r="I262" s="8"/>
    </row>
    <row r="263" spans="1:9">
      <c r="A263" s="7">
        <v>46284</v>
      </c>
      <c r="B263" s="5" t="s">
        <v>40</v>
      </c>
      <c r="C263" s="5">
        <v>0</v>
      </c>
      <c r="D263" s="5">
        <v>0</v>
      </c>
      <c r="E263" s="5">
        <v>0</v>
      </c>
      <c r="F263" s="5">
        <v>0</v>
      </c>
      <c r="G263" s="6">
        <f t="shared" si="23"/>
        <v>0</v>
      </c>
      <c r="H263" s="92"/>
      <c r="I263" s="8"/>
    </row>
    <row r="264" spans="1:9">
      <c r="A264" s="7">
        <v>46285</v>
      </c>
      <c r="B264" s="5" t="s">
        <v>40</v>
      </c>
      <c r="C264" s="5">
        <v>0</v>
      </c>
      <c r="D264" s="5">
        <v>0</v>
      </c>
      <c r="E264" s="5">
        <v>0</v>
      </c>
      <c r="F264" s="5">
        <v>0</v>
      </c>
      <c r="G264" s="6">
        <f t="shared" si="23"/>
        <v>0</v>
      </c>
      <c r="H264" s="93"/>
      <c r="I264" s="8"/>
    </row>
    <row r="265" spans="1:9">
      <c r="A265" s="7">
        <v>46286</v>
      </c>
      <c r="B265" s="5" t="s">
        <v>40</v>
      </c>
      <c r="C265" s="5">
        <v>0</v>
      </c>
      <c r="D265" s="5">
        <v>0</v>
      </c>
      <c r="E265" s="5">
        <v>0</v>
      </c>
      <c r="F265" s="5">
        <v>0</v>
      </c>
      <c r="G265" s="6">
        <f t="shared" si="23"/>
        <v>0</v>
      </c>
      <c r="H265" s="91">
        <f t="shared" ref="H265" si="24">SUM(G265:G271)</f>
        <v>0</v>
      </c>
      <c r="I265" s="8"/>
    </row>
    <row r="266" spans="1:9">
      <c r="A266" s="7">
        <v>46287</v>
      </c>
      <c r="B266" s="5" t="s">
        <v>40</v>
      </c>
      <c r="C266" s="5">
        <v>0</v>
      </c>
      <c r="D266" s="5">
        <v>0</v>
      </c>
      <c r="E266" s="5">
        <v>0</v>
      </c>
      <c r="F266" s="5">
        <v>0</v>
      </c>
      <c r="G266" s="6">
        <f t="shared" si="23"/>
        <v>0</v>
      </c>
      <c r="H266" s="92"/>
      <c r="I266" s="8"/>
    </row>
    <row r="267" spans="1:9">
      <c r="A267" s="7">
        <v>46288</v>
      </c>
      <c r="B267" s="5" t="s">
        <v>40</v>
      </c>
      <c r="C267" s="5">
        <v>0</v>
      </c>
      <c r="D267" s="5">
        <v>0</v>
      </c>
      <c r="E267" s="5">
        <v>0</v>
      </c>
      <c r="F267" s="5">
        <v>0</v>
      </c>
      <c r="G267" s="6">
        <f t="shared" si="23"/>
        <v>0</v>
      </c>
      <c r="H267" s="92"/>
      <c r="I267" s="8"/>
    </row>
    <row r="268" spans="1:9">
      <c r="A268" s="7">
        <v>46289</v>
      </c>
      <c r="B268" s="5" t="s">
        <v>40</v>
      </c>
      <c r="C268" s="5">
        <v>0</v>
      </c>
      <c r="D268" s="5">
        <v>0</v>
      </c>
      <c r="E268" s="5">
        <v>0</v>
      </c>
      <c r="F268" s="5">
        <v>0</v>
      </c>
      <c r="G268" s="6">
        <f t="shared" si="23"/>
        <v>0</v>
      </c>
      <c r="H268" s="92"/>
      <c r="I268" s="8"/>
    </row>
    <row r="269" spans="1:9">
      <c r="A269" s="7">
        <v>46290</v>
      </c>
      <c r="B269" s="5" t="s">
        <v>40</v>
      </c>
      <c r="C269" s="5">
        <v>0</v>
      </c>
      <c r="D269" s="5">
        <v>0</v>
      </c>
      <c r="E269" s="5">
        <v>0</v>
      </c>
      <c r="F269" s="5">
        <v>0</v>
      </c>
      <c r="G269" s="6">
        <f t="shared" si="23"/>
        <v>0</v>
      </c>
      <c r="H269" s="92"/>
      <c r="I269" s="8"/>
    </row>
    <row r="270" spans="1:9">
      <c r="A270" s="7">
        <v>46291</v>
      </c>
      <c r="B270" s="5" t="s">
        <v>40</v>
      </c>
      <c r="C270" s="5">
        <v>0</v>
      </c>
      <c r="D270" s="5">
        <v>0</v>
      </c>
      <c r="E270" s="5">
        <v>0</v>
      </c>
      <c r="F270" s="5">
        <v>0</v>
      </c>
      <c r="G270" s="6">
        <f t="shared" si="23"/>
        <v>0</v>
      </c>
      <c r="H270" s="92"/>
      <c r="I270" s="8"/>
    </row>
    <row r="271" spans="1:9">
      <c r="A271" s="7">
        <v>46292</v>
      </c>
      <c r="B271" s="5" t="s">
        <v>40</v>
      </c>
      <c r="C271" s="5">
        <v>0</v>
      </c>
      <c r="D271" s="5">
        <v>0</v>
      </c>
      <c r="E271" s="5">
        <v>0</v>
      </c>
      <c r="F271" s="5">
        <v>0</v>
      </c>
      <c r="G271" s="6">
        <f t="shared" si="23"/>
        <v>0</v>
      </c>
      <c r="H271" s="93"/>
      <c r="I271" s="8"/>
    </row>
    <row r="272" spans="1:9">
      <c r="A272" s="7">
        <v>46293</v>
      </c>
      <c r="B272" s="5" t="s">
        <v>40</v>
      </c>
      <c r="C272" s="5">
        <v>0</v>
      </c>
      <c r="D272" s="5">
        <v>0</v>
      </c>
      <c r="E272" s="5">
        <v>0</v>
      </c>
      <c r="F272" s="5">
        <v>0</v>
      </c>
      <c r="G272" s="6">
        <f t="shared" si="23"/>
        <v>0</v>
      </c>
      <c r="H272" s="91">
        <f t="shared" ref="H272" si="25">SUM(G272:G278)</f>
        <v>0</v>
      </c>
      <c r="I272" s="8"/>
    </row>
    <row r="273" spans="1:9">
      <c r="A273" s="7">
        <v>46294</v>
      </c>
      <c r="B273" s="5" t="s">
        <v>40</v>
      </c>
      <c r="C273" s="5">
        <v>0</v>
      </c>
      <c r="D273" s="5">
        <v>0</v>
      </c>
      <c r="E273" s="5">
        <v>0</v>
      </c>
      <c r="F273" s="5">
        <v>0</v>
      </c>
      <c r="G273" s="6">
        <f t="shared" si="23"/>
        <v>0</v>
      </c>
      <c r="H273" s="92"/>
      <c r="I273" s="8"/>
    </row>
    <row r="274" spans="1:9">
      <c r="A274" s="7">
        <v>46295</v>
      </c>
      <c r="B274" s="5" t="s">
        <v>40</v>
      </c>
      <c r="C274" s="5">
        <v>0</v>
      </c>
      <c r="D274" s="5">
        <v>0</v>
      </c>
      <c r="E274" s="5">
        <v>0</v>
      </c>
      <c r="F274" s="5">
        <v>0</v>
      </c>
      <c r="G274" s="6">
        <f t="shared" si="23"/>
        <v>0</v>
      </c>
      <c r="H274" s="92"/>
      <c r="I274" s="8"/>
    </row>
    <row r="275" spans="1:9">
      <c r="A275" s="7">
        <v>46296</v>
      </c>
      <c r="B275" s="5" t="s">
        <v>40</v>
      </c>
      <c r="C275" s="5">
        <v>0</v>
      </c>
      <c r="D275" s="5">
        <v>0</v>
      </c>
      <c r="E275" s="5">
        <v>0</v>
      </c>
      <c r="F275" s="5">
        <v>0</v>
      </c>
      <c r="G275" s="6">
        <f t="shared" si="23"/>
        <v>0</v>
      </c>
      <c r="H275" s="92"/>
      <c r="I275" s="8"/>
    </row>
    <row r="276" spans="1:9">
      <c r="A276" s="7">
        <v>46297</v>
      </c>
      <c r="B276" s="5" t="s">
        <v>40</v>
      </c>
      <c r="C276" s="5">
        <v>0</v>
      </c>
      <c r="D276" s="5">
        <v>0</v>
      </c>
      <c r="E276" s="5">
        <v>0</v>
      </c>
      <c r="F276" s="5">
        <v>0</v>
      </c>
      <c r="G276" s="6">
        <f t="shared" si="23"/>
        <v>0</v>
      </c>
      <c r="H276" s="92"/>
      <c r="I276" s="8"/>
    </row>
    <row r="277" spans="1:9">
      <c r="A277" s="7">
        <v>46298</v>
      </c>
      <c r="B277" s="5" t="s">
        <v>40</v>
      </c>
      <c r="C277" s="5">
        <v>0</v>
      </c>
      <c r="D277" s="5">
        <v>0</v>
      </c>
      <c r="E277" s="5">
        <v>0</v>
      </c>
      <c r="F277" s="5">
        <v>0</v>
      </c>
      <c r="G277" s="6">
        <f t="shared" si="23"/>
        <v>0</v>
      </c>
      <c r="H277" s="92"/>
      <c r="I277" s="8"/>
    </row>
    <row r="278" spans="1:9">
      <c r="A278" s="7">
        <v>46299</v>
      </c>
      <c r="B278" s="5" t="s">
        <v>40</v>
      </c>
      <c r="C278" s="5">
        <v>0</v>
      </c>
      <c r="D278" s="5">
        <v>0</v>
      </c>
      <c r="E278" s="5">
        <v>0</v>
      </c>
      <c r="F278" s="5">
        <v>0</v>
      </c>
      <c r="G278" s="6">
        <f t="shared" si="23"/>
        <v>0</v>
      </c>
      <c r="H278" s="93"/>
      <c r="I278" s="8"/>
    </row>
    <row r="279" spans="1:9">
      <c r="A279" s="7">
        <v>46300</v>
      </c>
      <c r="B279" s="5" t="s">
        <v>40</v>
      </c>
      <c r="C279" s="5">
        <v>0</v>
      </c>
      <c r="D279" s="5">
        <v>0</v>
      </c>
      <c r="E279" s="5">
        <v>0</v>
      </c>
      <c r="F279" s="5">
        <v>0</v>
      </c>
      <c r="G279" s="6">
        <f t="shared" si="23"/>
        <v>0</v>
      </c>
      <c r="H279" s="91">
        <f t="shared" ref="H279" si="26">SUM(G279:G285)</f>
        <v>0</v>
      </c>
      <c r="I279" s="8"/>
    </row>
    <row r="280" spans="1:9">
      <c r="A280" s="7">
        <v>46301</v>
      </c>
      <c r="B280" s="5" t="s">
        <v>40</v>
      </c>
      <c r="C280" s="5">
        <v>0</v>
      </c>
      <c r="D280" s="5">
        <v>0</v>
      </c>
      <c r="E280" s="5">
        <v>0</v>
      </c>
      <c r="F280" s="5">
        <v>0</v>
      </c>
      <c r="G280" s="6">
        <f t="shared" si="23"/>
        <v>0</v>
      </c>
      <c r="H280" s="92"/>
      <c r="I280" s="8"/>
    </row>
    <row r="281" spans="1:9">
      <c r="A281" s="7">
        <v>46302</v>
      </c>
      <c r="B281" s="5" t="s">
        <v>40</v>
      </c>
      <c r="C281" s="5">
        <v>0</v>
      </c>
      <c r="D281" s="5">
        <v>0</v>
      </c>
      <c r="E281" s="5">
        <v>0</v>
      </c>
      <c r="F281" s="5">
        <v>0</v>
      </c>
      <c r="G281" s="6">
        <f t="shared" si="23"/>
        <v>0</v>
      </c>
      <c r="H281" s="92"/>
      <c r="I281" s="8"/>
    </row>
    <row r="282" spans="1:9">
      <c r="A282" s="7">
        <v>46303</v>
      </c>
      <c r="B282" s="5" t="s">
        <v>40</v>
      </c>
      <c r="C282" s="5">
        <v>0</v>
      </c>
      <c r="D282" s="5">
        <v>0</v>
      </c>
      <c r="E282" s="5">
        <v>0</v>
      </c>
      <c r="F282" s="5">
        <v>0</v>
      </c>
      <c r="G282" s="6">
        <f t="shared" si="23"/>
        <v>0</v>
      </c>
      <c r="H282" s="92"/>
      <c r="I282" s="8"/>
    </row>
    <row r="283" spans="1:9">
      <c r="A283" s="7">
        <v>46304</v>
      </c>
      <c r="B283" s="5" t="s">
        <v>40</v>
      </c>
      <c r="C283" s="5">
        <v>0</v>
      </c>
      <c r="D283" s="5">
        <v>0</v>
      </c>
      <c r="E283" s="5">
        <v>0</v>
      </c>
      <c r="F283" s="5">
        <v>0</v>
      </c>
      <c r="G283" s="6">
        <f t="shared" si="23"/>
        <v>0</v>
      </c>
      <c r="H283" s="92"/>
      <c r="I283" s="8"/>
    </row>
    <row r="284" spans="1:9">
      <c r="A284" s="7">
        <v>46305</v>
      </c>
      <c r="B284" s="5" t="s">
        <v>40</v>
      </c>
      <c r="C284" s="5">
        <v>0</v>
      </c>
      <c r="D284" s="5">
        <v>0</v>
      </c>
      <c r="E284" s="5">
        <v>0</v>
      </c>
      <c r="F284" s="5">
        <v>0</v>
      </c>
      <c r="G284" s="6">
        <f t="shared" si="23"/>
        <v>0</v>
      </c>
      <c r="H284" s="92"/>
      <c r="I284" s="8"/>
    </row>
    <row r="285" spans="1:9">
      <c r="A285" s="7">
        <v>46306</v>
      </c>
      <c r="B285" s="5" t="s">
        <v>40</v>
      </c>
      <c r="C285" s="5">
        <v>0</v>
      </c>
      <c r="D285" s="5">
        <v>0</v>
      </c>
      <c r="E285" s="5">
        <v>0</v>
      </c>
      <c r="F285" s="5">
        <v>0</v>
      </c>
      <c r="G285" s="6">
        <f t="shared" si="23"/>
        <v>0</v>
      </c>
      <c r="H285" s="93"/>
      <c r="I285" s="8"/>
    </row>
    <row r="286" spans="1:9">
      <c r="A286" s="7">
        <v>46307</v>
      </c>
      <c r="B286" s="5" t="s">
        <v>40</v>
      </c>
      <c r="C286" s="5">
        <v>0</v>
      </c>
      <c r="D286" s="5">
        <v>0</v>
      </c>
      <c r="E286" s="5">
        <v>0</v>
      </c>
      <c r="F286" s="5">
        <v>0</v>
      </c>
      <c r="G286" s="6">
        <f t="shared" si="23"/>
        <v>0</v>
      </c>
      <c r="H286" s="91">
        <f t="shared" ref="H286" si="27">SUM(G286:G292)</f>
        <v>0</v>
      </c>
      <c r="I286" s="8"/>
    </row>
    <row r="287" spans="1:9">
      <c r="A287" s="7">
        <v>46308</v>
      </c>
      <c r="B287" s="5" t="s">
        <v>40</v>
      </c>
      <c r="C287" s="5">
        <v>0</v>
      </c>
      <c r="D287" s="5">
        <v>0</v>
      </c>
      <c r="E287" s="5">
        <v>0</v>
      </c>
      <c r="F287" s="5">
        <v>0</v>
      </c>
      <c r="G287" s="6">
        <f t="shared" si="23"/>
        <v>0</v>
      </c>
      <c r="H287" s="92"/>
      <c r="I287" s="8"/>
    </row>
    <row r="288" spans="1:9">
      <c r="A288" s="7">
        <v>46309</v>
      </c>
      <c r="B288" s="5" t="s">
        <v>40</v>
      </c>
      <c r="C288" s="5">
        <v>0</v>
      </c>
      <c r="D288" s="5">
        <v>0</v>
      </c>
      <c r="E288" s="5">
        <v>0</v>
      </c>
      <c r="F288" s="5">
        <v>0</v>
      </c>
      <c r="G288" s="6">
        <f t="shared" si="23"/>
        <v>0</v>
      </c>
      <c r="H288" s="92"/>
      <c r="I288" s="8"/>
    </row>
    <row r="289" spans="1:9">
      <c r="A289" s="7">
        <v>46310</v>
      </c>
      <c r="B289" s="5" t="s">
        <v>40</v>
      </c>
      <c r="C289" s="5">
        <v>0</v>
      </c>
      <c r="D289" s="5">
        <v>0</v>
      </c>
      <c r="E289" s="5">
        <v>0</v>
      </c>
      <c r="F289" s="5">
        <v>0</v>
      </c>
      <c r="G289" s="6">
        <f t="shared" si="23"/>
        <v>0</v>
      </c>
      <c r="H289" s="92"/>
      <c r="I289" s="8"/>
    </row>
    <row r="290" spans="1:9">
      <c r="A290" s="7">
        <v>46311</v>
      </c>
      <c r="B290" s="5" t="s">
        <v>40</v>
      </c>
      <c r="C290" s="5">
        <v>0</v>
      </c>
      <c r="D290" s="5">
        <v>0</v>
      </c>
      <c r="E290" s="5">
        <v>0</v>
      </c>
      <c r="F290" s="5">
        <v>0</v>
      </c>
      <c r="G290" s="6">
        <f t="shared" si="23"/>
        <v>0</v>
      </c>
      <c r="H290" s="92"/>
      <c r="I290" s="8"/>
    </row>
    <row r="291" spans="1:9">
      <c r="A291" s="7">
        <v>46312</v>
      </c>
      <c r="B291" s="5" t="s">
        <v>40</v>
      </c>
      <c r="C291" s="5">
        <v>0</v>
      </c>
      <c r="D291" s="5">
        <v>0</v>
      </c>
      <c r="E291" s="5">
        <v>0</v>
      </c>
      <c r="F291" s="5">
        <v>0</v>
      </c>
      <c r="G291" s="6">
        <f t="shared" si="23"/>
        <v>0</v>
      </c>
      <c r="H291" s="92"/>
      <c r="I291" s="8"/>
    </row>
    <row r="292" spans="1:9">
      <c r="A292" s="7">
        <v>46313</v>
      </c>
      <c r="B292" s="5" t="s">
        <v>40</v>
      </c>
      <c r="C292" s="5">
        <v>0</v>
      </c>
      <c r="D292" s="5">
        <v>0</v>
      </c>
      <c r="E292" s="5">
        <v>0</v>
      </c>
      <c r="F292" s="5">
        <v>0</v>
      </c>
      <c r="G292" s="6">
        <f t="shared" si="23"/>
        <v>0</v>
      </c>
      <c r="H292" s="93"/>
      <c r="I292" s="8"/>
    </row>
    <row r="293" spans="1:9">
      <c r="A293" s="7">
        <v>46314</v>
      </c>
      <c r="B293" s="5" t="s">
        <v>40</v>
      </c>
      <c r="C293" s="5">
        <v>0</v>
      </c>
      <c r="D293" s="5">
        <v>0</v>
      </c>
      <c r="E293" s="5">
        <v>0</v>
      </c>
      <c r="F293" s="5">
        <v>0</v>
      </c>
      <c r="G293" s="6">
        <f t="shared" si="23"/>
        <v>0</v>
      </c>
      <c r="H293" s="91">
        <f t="shared" ref="H293" si="28">SUM(G293:G299)</f>
        <v>0</v>
      </c>
      <c r="I293" s="8"/>
    </row>
    <row r="294" spans="1:9">
      <c r="A294" s="7">
        <v>46315</v>
      </c>
      <c r="B294" s="5" t="s">
        <v>40</v>
      </c>
      <c r="C294" s="5">
        <v>0</v>
      </c>
      <c r="D294" s="5">
        <v>0</v>
      </c>
      <c r="E294" s="5">
        <v>0</v>
      </c>
      <c r="F294" s="5">
        <v>0</v>
      </c>
      <c r="G294" s="6">
        <f t="shared" si="23"/>
        <v>0</v>
      </c>
      <c r="H294" s="92"/>
      <c r="I294" s="8"/>
    </row>
    <row r="295" spans="1:9">
      <c r="A295" s="7">
        <v>46316</v>
      </c>
      <c r="B295" s="5" t="s">
        <v>40</v>
      </c>
      <c r="C295" s="5">
        <v>0</v>
      </c>
      <c r="D295" s="5">
        <v>0</v>
      </c>
      <c r="E295" s="5">
        <v>0</v>
      </c>
      <c r="F295" s="5">
        <v>0</v>
      </c>
      <c r="G295" s="6">
        <f t="shared" si="23"/>
        <v>0</v>
      </c>
      <c r="H295" s="92"/>
      <c r="I295" s="8"/>
    </row>
    <row r="296" spans="1:9">
      <c r="A296" s="7">
        <v>46317</v>
      </c>
      <c r="B296" s="5" t="s">
        <v>40</v>
      </c>
      <c r="C296" s="5">
        <v>0</v>
      </c>
      <c r="D296" s="5">
        <v>0</v>
      </c>
      <c r="E296" s="5">
        <v>0</v>
      </c>
      <c r="F296" s="5">
        <v>0</v>
      </c>
      <c r="G296" s="6">
        <f t="shared" si="23"/>
        <v>0</v>
      </c>
      <c r="H296" s="92"/>
      <c r="I296" s="8"/>
    </row>
    <row r="297" spans="1:9">
      <c r="A297" s="7">
        <v>46318</v>
      </c>
      <c r="B297" s="5" t="s">
        <v>40</v>
      </c>
      <c r="C297" s="5">
        <v>0</v>
      </c>
      <c r="D297" s="5">
        <v>0</v>
      </c>
      <c r="E297" s="5">
        <v>0</v>
      </c>
      <c r="F297" s="5">
        <v>0</v>
      </c>
      <c r="G297" s="6">
        <f t="shared" si="23"/>
        <v>0</v>
      </c>
      <c r="H297" s="92"/>
      <c r="I297" s="8"/>
    </row>
    <row r="298" spans="1:9">
      <c r="A298" s="7">
        <v>46319</v>
      </c>
      <c r="B298" s="5" t="s">
        <v>40</v>
      </c>
      <c r="C298" s="5">
        <v>0</v>
      </c>
      <c r="D298" s="5">
        <v>0</v>
      </c>
      <c r="E298" s="5">
        <v>0</v>
      </c>
      <c r="F298" s="5">
        <v>0</v>
      </c>
      <c r="G298" s="6">
        <f t="shared" si="23"/>
        <v>0</v>
      </c>
      <c r="H298" s="92"/>
      <c r="I298" s="8"/>
    </row>
    <row r="299" spans="1:9">
      <c r="A299" s="7">
        <v>46320</v>
      </c>
      <c r="B299" s="5" t="s">
        <v>40</v>
      </c>
      <c r="C299" s="5">
        <v>0</v>
      </c>
      <c r="D299" s="5">
        <v>0</v>
      </c>
      <c r="E299" s="5">
        <v>0</v>
      </c>
      <c r="F299" s="5">
        <v>0</v>
      </c>
      <c r="G299" s="6">
        <f t="shared" si="23"/>
        <v>0</v>
      </c>
      <c r="H299" s="93"/>
      <c r="I299" s="8"/>
    </row>
    <row r="300" spans="1:9">
      <c r="A300" s="7">
        <v>46321</v>
      </c>
      <c r="B300" s="5" t="s">
        <v>40</v>
      </c>
      <c r="C300" s="5">
        <v>0</v>
      </c>
      <c r="D300" s="5">
        <v>0</v>
      </c>
      <c r="E300" s="5">
        <v>0</v>
      </c>
      <c r="F300" s="5">
        <v>0</v>
      </c>
      <c r="G300" s="6">
        <f t="shared" si="23"/>
        <v>0</v>
      </c>
      <c r="H300" s="91">
        <f t="shared" ref="H300" si="29">SUM(G300:G306)</f>
        <v>0</v>
      </c>
      <c r="I300" s="8"/>
    </row>
    <row r="301" spans="1:9">
      <c r="A301" s="7">
        <v>46322</v>
      </c>
      <c r="B301" s="5" t="s">
        <v>40</v>
      </c>
      <c r="C301" s="5">
        <v>0</v>
      </c>
      <c r="D301" s="5">
        <v>0</v>
      </c>
      <c r="E301" s="5">
        <v>0</v>
      </c>
      <c r="F301" s="5">
        <v>0</v>
      </c>
      <c r="G301" s="6">
        <f t="shared" si="23"/>
        <v>0</v>
      </c>
      <c r="H301" s="92"/>
      <c r="I301" s="8"/>
    </row>
    <row r="302" spans="1:9">
      <c r="A302" s="7">
        <v>46323</v>
      </c>
      <c r="B302" s="5" t="s">
        <v>40</v>
      </c>
      <c r="C302" s="5">
        <v>0</v>
      </c>
      <c r="D302" s="5">
        <v>0</v>
      </c>
      <c r="E302" s="5">
        <v>0</v>
      </c>
      <c r="F302" s="5">
        <v>0</v>
      </c>
      <c r="G302" s="6">
        <f t="shared" si="23"/>
        <v>0</v>
      </c>
      <c r="H302" s="92"/>
      <c r="I302" s="8"/>
    </row>
    <row r="303" spans="1:9">
      <c r="A303" s="7">
        <v>46324</v>
      </c>
      <c r="B303" s="5" t="s">
        <v>40</v>
      </c>
      <c r="C303" s="5">
        <v>0</v>
      </c>
      <c r="D303" s="5">
        <v>0</v>
      </c>
      <c r="E303" s="5">
        <v>0</v>
      </c>
      <c r="F303" s="5">
        <v>0</v>
      </c>
      <c r="G303" s="6">
        <f t="shared" si="23"/>
        <v>0</v>
      </c>
      <c r="H303" s="92"/>
      <c r="I303" s="8"/>
    </row>
    <row r="304" spans="1:9">
      <c r="A304" s="7">
        <v>46325</v>
      </c>
      <c r="B304" s="5" t="s">
        <v>40</v>
      </c>
      <c r="C304" s="5">
        <v>0</v>
      </c>
      <c r="D304" s="5">
        <v>0</v>
      </c>
      <c r="E304" s="5">
        <v>0</v>
      </c>
      <c r="F304" s="5">
        <v>0</v>
      </c>
      <c r="G304" s="6">
        <f t="shared" si="23"/>
        <v>0</v>
      </c>
      <c r="H304" s="92"/>
      <c r="I304" s="8"/>
    </row>
    <row r="305" spans="1:9">
      <c r="A305" s="7">
        <v>46326</v>
      </c>
      <c r="B305" s="5" t="s">
        <v>40</v>
      </c>
      <c r="C305" s="5">
        <v>0</v>
      </c>
      <c r="D305" s="5">
        <v>0</v>
      </c>
      <c r="E305" s="5">
        <v>0</v>
      </c>
      <c r="F305" s="5">
        <v>0</v>
      </c>
      <c r="G305" s="6">
        <f t="shared" si="23"/>
        <v>0</v>
      </c>
      <c r="H305" s="92"/>
      <c r="I305" s="8"/>
    </row>
    <row r="306" spans="1:9">
      <c r="A306" s="7">
        <v>46327</v>
      </c>
      <c r="B306" s="5" t="s">
        <v>40</v>
      </c>
      <c r="C306" s="5">
        <v>0</v>
      </c>
      <c r="D306" s="5">
        <v>0</v>
      </c>
      <c r="E306" s="5">
        <v>0</v>
      </c>
      <c r="F306" s="5">
        <v>0</v>
      </c>
      <c r="G306" s="6">
        <f t="shared" si="23"/>
        <v>0</v>
      </c>
      <c r="H306" s="93"/>
      <c r="I306" s="8"/>
    </row>
    <row r="307" spans="1:9">
      <c r="A307" s="7">
        <v>46328</v>
      </c>
      <c r="B307" s="5" t="s">
        <v>40</v>
      </c>
      <c r="C307" s="5">
        <v>0</v>
      </c>
      <c r="D307" s="5">
        <v>0</v>
      </c>
      <c r="E307" s="5">
        <v>0</v>
      </c>
      <c r="F307" s="5">
        <v>0</v>
      </c>
      <c r="G307" s="6">
        <f t="shared" si="23"/>
        <v>0</v>
      </c>
      <c r="H307" s="91">
        <f t="shared" ref="H307" si="30">SUM(G307:G313)</f>
        <v>0</v>
      </c>
      <c r="I307" s="8"/>
    </row>
    <row r="308" spans="1:9">
      <c r="A308" s="7">
        <v>46329</v>
      </c>
      <c r="B308" s="5" t="s">
        <v>40</v>
      </c>
      <c r="C308" s="5">
        <v>0</v>
      </c>
      <c r="D308" s="5">
        <v>0</v>
      </c>
      <c r="E308" s="5">
        <v>0</v>
      </c>
      <c r="F308" s="5">
        <v>0</v>
      </c>
      <c r="G308" s="6">
        <f t="shared" si="23"/>
        <v>0</v>
      </c>
      <c r="H308" s="92"/>
      <c r="I308" s="8"/>
    </row>
    <row r="309" spans="1:9">
      <c r="A309" s="7">
        <v>46330</v>
      </c>
      <c r="B309" s="5" t="s">
        <v>40</v>
      </c>
      <c r="C309" s="5">
        <v>0</v>
      </c>
      <c r="D309" s="5">
        <v>0</v>
      </c>
      <c r="E309" s="5">
        <v>0</v>
      </c>
      <c r="F309" s="5">
        <v>0</v>
      </c>
      <c r="G309" s="6">
        <f t="shared" si="23"/>
        <v>0</v>
      </c>
      <c r="H309" s="92"/>
      <c r="I309" s="8"/>
    </row>
    <row r="310" spans="1:9">
      <c r="A310" s="7">
        <v>46331</v>
      </c>
      <c r="B310" s="5" t="s">
        <v>40</v>
      </c>
      <c r="C310" s="5">
        <v>0</v>
      </c>
      <c r="D310" s="5">
        <v>0</v>
      </c>
      <c r="E310" s="5">
        <v>0</v>
      </c>
      <c r="F310" s="5">
        <v>0</v>
      </c>
      <c r="G310" s="6">
        <f t="shared" si="23"/>
        <v>0</v>
      </c>
      <c r="H310" s="92"/>
      <c r="I310" s="8"/>
    </row>
    <row r="311" spans="1:9">
      <c r="A311" s="7">
        <v>46332</v>
      </c>
      <c r="B311" s="5" t="s">
        <v>40</v>
      </c>
      <c r="C311" s="5">
        <v>0</v>
      </c>
      <c r="D311" s="5">
        <v>0</v>
      </c>
      <c r="E311" s="5">
        <v>0</v>
      </c>
      <c r="F311" s="5">
        <v>0</v>
      </c>
      <c r="G311" s="6">
        <f t="shared" si="23"/>
        <v>0</v>
      </c>
      <c r="H311" s="92"/>
      <c r="I311" s="8"/>
    </row>
    <row r="312" spans="1:9">
      <c r="A312" s="7">
        <v>46333</v>
      </c>
      <c r="B312" s="5" t="s">
        <v>40</v>
      </c>
      <c r="C312" s="5">
        <v>0</v>
      </c>
      <c r="D312" s="5">
        <v>0</v>
      </c>
      <c r="E312" s="5">
        <v>0</v>
      </c>
      <c r="F312" s="5">
        <v>0</v>
      </c>
      <c r="G312" s="6">
        <f t="shared" si="23"/>
        <v>0</v>
      </c>
      <c r="H312" s="92"/>
      <c r="I312" s="8"/>
    </row>
    <row r="313" spans="1:9">
      <c r="A313" s="7">
        <v>46334</v>
      </c>
      <c r="B313" s="5" t="s">
        <v>40</v>
      </c>
      <c r="C313" s="5">
        <v>0</v>
      </c>
      <c r="D313" s="5">
        <v>0</v>
      </c>
      <c r="E313" s="5">
        <v>0</v>
      </c>
      <c r="F313" s="5">
        <v>0</v>
      </c>
      <c r="G313" s="6">
        <f t="shared" si="23"/>
        <v>0</v>
      </c>
      <c r="H313" s="93"/>
      <c r="I313" s="8"/>
    </row>
    <row r="314" spans="1:9">
      <c r="A314" s="7">
        <v>46335</v>
      </c>
      <c r="B314" s="5" t="s">
        <v>40</v>
      </c>
      <c r="C314" s="5">
        <v>0</v>
      </c>
      <c r="D314" s="5">
        <v>0</v>
      </c>
      <c r="E314" s="5">
        <v>0</v>
      </c>
      <c r="F314" s="5">
        <v>0</v>
      </c>
      <c r="G314" s="6">
        <f t="shared" si="23"/>
        <v>0</v>
      </c>
      <c r="H314" s="91">
        <f t="shared" ref="H314" si="31">SUM(G314:G320)</f>
        <v>0</v>
      </c>
      <c r="I314" s="8"/>
    </row>
    <row r="315" spans="1:9">
      <c r="A315" s="7">
        <v>46336</v>
      </c>
      <c r="B315" s="5" t="s">
        <v>40</v>
      </c>
      <c r="C315" s="5">
        <v>0</v>
      </c>
      <c r="D315" s="5">
        <v>0</v>
      </c>
      <c r="E315" s="5">
        <v>0</v>
      </c>
      <c r="F315" s="5">
        <v>0</v>
      </c>
      <c r="G315" s="6">
        <f t="shared" si="23"/>
        <v>0</v>
      </c>
      <c r="H315" s="92"/>
      <c r="I315" s="8"/>
    </row>
    <row r="316" spans="1:9">
      <c r="A316" s="7">
        <v>46337</v>
      </c>
      <c r="B316" s="5" t="s">
        <v>40</v>
      </c>
      <c r="C316" s="5">
        <v>0</v>
      </c>
      <c r="D316" s="5">
        <v>0</v>
      </c>
      <c r="E316" s="5">
        <v>0</v>
      </c>
      <c r="F316" s="5">
        <v>0</v>
      </c>
      <c r="G316" s="6">
        <f t="shared" si="23"/>
        <v>0</v>
      </c>
      <c r="H316" s="92"/>
      <c r="I316" s="8"/>
    </row>
    <row r="317" spans="1:9">
      <c r="A317" s="7">
        <v>46338</v>
      </c>
      <c r="B317" s="5" t="s">
        <v>40</v>
      </c>
      <c r="C317" s="5">
        <v>0</v>
      </c>
      <c r="D317" s="5">
        <v>0</v>
      </c>
      <c r="E317" s="5">
        <v>0</v>
      </c>
      <c r="F317" s="5">
        <v>0</v>
      </c>
      <c r="G317" s="6">
        <f t="shared" si="23"/>
        <v>0</v>
      </c>
      <c r="H317" s="92"/>
      <c r="I317" s="8"/>
    </row>
    <row r="318" spans="1:9">
      <c r="A318" s="7">
        <v>46339</v>
      </c>
      <c r="B318" s="5" t="s">
        <v>40</v>
      </c>
      <c r="C318" s="5">
        <v>0</v>
      </c>
      <c r="D318" s="5">
        <v>0</v>
      </c>
      <c r="E318" s="5">
        <v>0</v>
      </c>
      <c r="F318" s="5">
        <v>0</v>
      </c>
      <c r="G318" s="6">
        <f t="shared" si="23"/>
        <v>0</v>
      </c>
      <c r="H318" s="92"/>
      <c r="I318" s="8"/>
    </row>
    <row r="319" spans="1:9">
      <c r="A319" s="7">
        <v>46340</v>
      </c>
      <c r="B319" s="5" t="s">
        <v>40</v>
      </c>
      <c r="C319" s="5">
        <v>0</v>
      </c>
      <c r="D319" s="5">
        <v>0</v>
      </c>
      <c r="E319" s="5">
        <v>0</v>
      </c>
      <c r="F319" s="5">
        <v>0</v>
      </c>
      <c r="G319" s="6">
        <f t="shared" si="23"/>
        <v>0</v>
      </c>
      <c r="H319" s="92"/>
      <c r="I319" s="8"/>
    </row>
    <row r="320" spans="1:9">
      <c r="A320" s="7">
        <v>46341</v>
      </c>
      <c r="B320" s="5" t="s">
        <v>40</v>
      </c>
      <c r="C320" s="5">
        <v>0</v>
      </c>
      <c r="D320" s="5">
        <v>0</v>
      </c>
      <c r="E320" s="5">
        <v>0</v>
      </c>
      <c r="F320" s="5">
        <v>0</v>
      </c>
      <c r="G320" s="6">
        <f t="shared" si="23"/>
        <v>0</v>
      </c>
      <c r="H320" s="93"/>
      <c r="I320" s="8"/>
    </row>
    <row r="321" spans="1:9">
      <c r="A321" s="7">
        <v>46342</v>
      </c>
      <c r="B321" s="5" t="s">
        <v>40</v>
      </c>
      <c r="C321" s="5">
        <v>0</v>
      </c>
      <c r="D321" s="5">
        <v>0</v>
      </c>
      <c r="E321" s="5">
        <v>0</v>
      </c>
      <c r="F321" s="5">
        <v>0</v>
      </c>
      <c r="G321" s="6">
        <f t="shared" si="23"/>
        <v>0</v>
      </c>
      <c r="H321" s="91">
        <f t="shared" ref="H321" si="32">SUM(G321:G327)</f>
        <v>0</v>
      </c>
      <c r="I321" s="8"/>
    </row>
    <row r="322" spans="1:9">
      <c r="A322" s="7">
        <v>46343</v>
      </c>
      <c r="B322" s="5" t="s">
        <v>40</v>
      </c>
      <c r="C322" s="5">
        <v>0</v>
      </c>
      <c r="D322" s="5">
        <v>0</v>
      </c>
      <c r="E322" s="5">
        <v>0</v>
      </c>
      <c r="F322" s="5">
        <v>0</v>
      </c>
      <c r="G322" s="6">
        <f t="shared" si="23"/>
        <v>0</v>
      </c>
      <c r="H322" s="92"/>
      <c r="I322" s="8"/>
    </row>
    <row r="323" spans="1:9">
      <c r="A323" s="7">
        <v>46344</v>
      </c>
      <c r="B323" s="5" t="s">
        <v>40</v>
      </c>
      <c r="C323" s="5">
        <v>0</v>
      </c>
      <c r="D323" s="5">
        <v>0</v>
      </c>
      <c r="E323" s="5">
        <v>0</v>
      </c>
      <c r="F323" s="5">
        <v>0</v>
      </c>
      <c r="G323" s="6">
        <f t="shared" ref="G323:G367" si="33">SUM(F323,E323,C323-D323)</f>
        <v>0</v>
      </c>
      <c r="H323" s="92"/>
      <c r="I323" s="8"/>
    </row>
    <row r="324" spans="1:9">
      <c r="A324" s="7">
        <v>46345</v>
      </c>
      <c r="B324" s="5" t="s">
        <v>40</v>
      </c>
      <c r="C324" s="5">
        <v>0</v>
      </c>
      <c r="D324" s="5">
        <v>0</v>
      </c>
      <c r="E324" s="5">
        <v>0</v>
      </c>
      <c r="F324" s="5">
        <v>0</v>
      </c>
      <c r="G324" s="6">
        <f t="shared" si="33"/>
        <v>0</v>
      </c>
      <c r="H324" s="92"/>
      <c r="I324" s="8"/>
    </row>
    <row r="325" spans="1:9">
      <c r="A325" s="7">
        <v>46346</v>
      </c>
      <c r="B325" s="5" t="s">
        <v>40</v>
      </c>
      <c r="C325" s="5">
        <v>0</v>
      </c>
      <c r="D325" s="5">
        <v>0</v>
      </c>
      <c r="E325" s="5">
        <v>0</v>
      </c>
      <c r="F325" s="5">
        <v>0</v>
      </c>
      <c r="G325" s="6">
        <f t="shared" si="33"/>
        <v>0</v>
      </c>
      <c r="H325" s="92"/>
      <c r="I325" s="8"/>
    </row>
    <row r="326" spans="1:9">
      <c r="A326" s="7">
        <v>46347</v>
      </c>
      <c r="B326" s="5" t="s">
        <v>40</v>
      </c>
      <c r="C326" s="5">
        <v>0</v>
      </c>
      <c r="D326" s="5">
        <v>0</v>
      </c>
      <c r="E326" s="5">
        <v>0</v>
      </c>
      <c r="F326" s="5">
        <v>0</v>
      </c>
      <c r="G326" s="6">
        <f t="shared" si="33"/>
        <v>0</v>
      </c>
      <c r="H326" s="92"/>
      <c r="I326" s="8"/>
    </row>
    <row r="327" spans="1:9">
      <c r="A327" s="7">
        <v>46348</v>
      </c>
      <c r="B327" s="5" t="s">
        <v>40</v>
      </c>
      <c r="C327" s="5">
        <v>0</v>
      </c>
      <c r="D327" s="5">
        <v>0</v>
      </c>
      <c r="E327" s="5">
        <v>0</v>
      </c>
      <c r="F327" s="5">
        <v>0</v>
      </c>
      <c r="G327" s="6">
        <f t="shared" si="33"/>
        <v>0</v>
      </c>
      <c r="H327" s="93"/>
      <c r="I327" s="8"/>
    </row>
    <row r="328" spans="1:9">
      <c r="A328" s="7">
        <v>46349</v>
      </c>
      <c r="B328" s="5" t="s">
        <v>40</v>
      </c>
      <c r="C328" s="5">
        <v>0</v>
      </c>
      <c r="D328" s="5">
        <v>0</v>
      </c>
      <c r="E328" s="5">
        <v>0</v>
      </c>
      <c r="F328" s="5">
        <v>0</v>
      </c>
      <c r="G328" s="6">
        <f t="shared" si="33"/>
        <v>0</v>
      </c>
      <c r="H328" s="91">
        <f t="shared" ref="H328" si="34">SUM(G328:G334)</f>
        <v>0</v>
      </c>
      <c r="I328" s="8"/>
    </row>
    <row r="329" spans="1:9">
      <c r="A329" s="7">
        <v>46350</v>
      </c>
      <c r="B329" s="5" t="s">
        <v>40</v>
      </c>
      <c r="C329" s="5">
        <v>0</v>
      </c>
      <c r="D329" s="5">
        <v>0</v>
      </c>
      <c r="E329" s="5">
        <v>0</v>
      </c>
      <c r="F329" s="5">
        <v>0</v>
      </c>
      <c r="G329" s="6">
        <f t="shared" si="33"/>
        <v>0</v>
      </c>
      <c r="H329" s="92"/>
      <c r="I329" s="8"/>
    </row>
    <row r="330" spans="1:9">
      <c r="A330" s="7">
        <v>46351</v>
      </c>
      <c r="B330" s="5" t="s">
        <v>40</v>
      </c>
      <c r="C330" s="5">
        <v>0</v>
      </c>
      <c r="D330" s="5">
        <v>0</v>
      </c>
      <c r="E330" s="5">
        <v>0</v>
      </c>
      <c r="F330" s="5">
        <v>0</v>
      </c>
      <c r="G330" s="6">
        <f t="shared" si="33"/>
        <v>0</v>
      </c>
      <c r="H330" s="92"/>
      <c r="I330" s="8"/>
    </row>
    <row r="331" spans="1:9">
      <c r="A331" s="7">
        <v>46352</v>
      </c>
      <c r="B331" s="5" t="s">
        <v>40</v>
      </c>
      <c r="C331" s="5">
        <v>0</v>
      </c>
      <c r="D331" s="5">
        <v>0</v>
      </c>
      <c r="E331" s="5">
        <v>0</v>
      </c>
      <c r="F331" s="5">
        <v>0</v>
      </c>
      <c r="G331" s="6">
        <f t="shared" si="33"/>
        <v>0</v>
      </c>
      <c r="H331" s="92"/>
      <c r="I331" s="8"/>
    </row>
    <row r="332" spans="1:9">
      <c r="A332" s="7">
        <v>46353</v>
      </c>
      <c r="B332" s="5" t="s">
        <v>40</v>
      </c>
      <c r="C332" s="5">
        <v>0</v>
      </c>
      <c r="D332" s="5">
        <v>0</v>
      </c>
      <c r="E332" s="5">
        <v>0</v>
      </c>
      <c r="F332" s="5">
        <v>0</v>
      </c>
      <c r="G332" s="6">
        <f t="shared" si="33"/>
        <v>0</v>
      </c>
      <c r="H332" s="92"/>
      <c r="I332" s="8"/>
    </row>
    <row r="333" spans="1:9">
      <c r="A333" s="7">
        <v>46354</v>
      </c>
      <c r="B333" s="5" t="s">
        <v>40</v>
      </c>
      <c r="C333" s="5">
        <v>0</v>
      </c>
      <c r="D333" s="5">
        <v>0</v>
      </c>
      <c r="E333" s="5">
        <v>0</v>
      </c>
      <c r="F333" s="5">
        <v>0</v>
      </c>
      <c r="G333" s="6">
        <f t="shared" si="33"/>
        <v>0</v>
      </c>
      <c r="H333" s="92"/>
      <c r="I333" s="8"/>
    </row>
    <row r="334" spans="1:9">
      <c r="A334" s="7">
        <v>46355</v>
      </c>
      <c r="B334" s="5" t="s">
        <v>40</v>
      </c>
      <c r="C334" s="5">
        <v>0</v>
      </c>
      <c r="D334" s="5">
        <v>0</v>
      </c>
      <c r="E334" s="5">
        <v>0</v>
      </c>
      <c r="F334" s="5">
        <v>0</v>
      </c>
      <c r="G334" s="6">
        <f t="shared" si="33"/>
        <v>0</v>
      </c>
      <c r="H334" s="93"/>
      <c r="I334" s="8"/>
    </row>
    <row r="335" spans="1:9">
      <c r="A335" s="7">
        <v>46356</v>
      </c>
      <c r="B335" s="5" t="s">
        <v>40</v>
      </c>
      <c r="C335" s="5">
        <v>0</v>
      </c>
      <c r="D335" s="5">
        <v>0</v>
      </c>
      <c r="E335" s="5">
        <v>0</v>
      </c>
      <c r="F335" s="5">
        <v>0</v>
      </c>
      <c r="G335" s="6">
        <f t="shared" si="33"/>
        <v>0</v>
      </c>
      <c r="H335" s="91">
        <f t="shared" ref="H335" si="35">SUM(G335:G341)</f>
        <v>0</v>
      </c>
      <c r="I335" s="8"/>
    </row>
    <row r="336" spans="1:9">
      <c r="A336" s="7">
        <v>46357</v>
      </c>
      <c r="B336" s="5" t="s">
        <v>40</v>
      </c>
      <c r="C336" s="5">
        <v>0</v>
      </c>
      <c r="D336" s="5">
        <v>0</v>
      </c>
      <c r="E336" s="5">
        <v>0</v>
      </c>
      <c r="F336" s="5">
        <v>0</v>
      </c>
      <c r="G336" s="6">
        <f t="shared" si="33"/>
        <v>0</v>
      </c>
      <c r="H336" s="92"/>
      <c r="I336" s="8"/>
    </row>
    <row r="337" spans="1:9">
      <c r="A337" s="7">
        <v>46358</v>
      </c>
      <c r="B337" s="5" t="s">
        <v>40</v>
      </c>
      <c r="C337" s="5">
        <v>0</v>
      </c>
      <c r="D337" s="5">
        <v>0</v>
      </c>
      <c r="E337" s="5">
        <v>0</v>
      </c>
      <c r="F337" s="5">
        <v>0</v>
      </c>
      <c r="G337" s="6">
        <f t="shared" si="33"/>
        <v>0</v>
      </c>
      <c r="H337" s="92"/>
      <c r="I337" s="8"/>
    </row>
    <row r="338" spans="1:9">
      <c r="A338" s="7">
        <v>46359</v>
      </c>
      <c r="B338" s="5" t="s">
        <v>40</v>
      </c>
      <c r="C338" s="5">
        <v>0</v>
      </c>
      <c r="D338" s="5">
        <v>0</v>
      </c>
      <c r="E338" s="5">
        <v>0</v>
      </c>
      <c r="F338" s="5">
        <v>0</v>
      </c>
      <c r="G338" s="6">
        <f t="shared" si="33"/>
        <v>0</v>
      </c>
      <c r="H338" s="92"/>
      <c r="I338" s="8"/>
    </row>
    <row r="339" spans="1:9">
      <c r="A339" s="7">
        <v>46360</v>
      </c>
      <c r="B339" s="5" t="s">
        <v>40</v>
      </c>
      <c r="C339" s="5">
        <v>0</v>
      </c>
      <c r="D339" s="5">
        <v>0</v>
      </c>
      <c r="E339" s="5">
        <v>0</v>
      </c>
      <c r="F339" s="5">
        <v>0</v>
      </c>
      <c r="G339" s="6">
        <f t="shared" si="33"/>
        <v>0</v>
      </c>
      <c r="H339" s="92"/>
      <c r="I339" s="8"/>
    </row>
    <row r="340" spans="1:9">
      <c r="A340" s="7">
        <v>46361</v>
      </c>
      <c r="B340" s="5" t="s">
        <v>40</v>
      </c>
      <c r="C340" s="5">
        <v>0</v>
      </c>
      <c r="D340" s="5">
        <v>0</v>
      </c>
      <c r="E340" s="5">
        <v>0</v>
      </c>
      <c r="F340" s="5">
        <v>0</v>
      </c>
      <c r="G340" s="6">
        <f t="shared" si="33"/>
        <v>0</v>
      </c>
      <c r="H340" s="92"/>
      <c r="I340" s="8"/>
    </row>
    <row r="341" spans="1:9">
      <c r="A341" s="7">
        <v>46362</v>
      </c>
      <c r="B341" s="5" t="s">
        <v>40</v>
      </c>
      <c r="C341" s="5">
        <v>0</v>
      </c>
      <c r="D341" s="5">
        <v>0</v>
      </c>
      <c r="E341" s="5">
        <v>0</v>
      </c>
      <c r="F341" s="5">
        <v>0</v>
      </c>
      <c r="G341" s="6">
        <f t="shared" si="33"/>
        <v>0</v>
      </c>
      <c r="H341" s="93"/>
      <c r="I341" s="8"/>
    </row>
    <row r="342" spans="1:9">
      <c r="A342" s="7">
        <v>46363</v>
      </c>
      <c r="B342" s="5" t="s">
        <v>40</v>
      </c>
      <c r="C342" s="5">
        <v>0</v>
      </c>
      <c r="D342" s="5">
        <v>0</v>
      </c>
      <c r="E342" s="5">
        <v>0</v>
      </c>
      <c r="F342" s="5">
        <v>0</v>
      </c>
      <c r="G342" s="6">
        <f t="shared" si="33"/>
        <v>0</v>
      </c>
      <c r="H342" s="91">
        <f t="shared" ref="H342" si="36">SUM(G342:G348)</f>
        <v>0</v>
      </c>
      <c r="I342" s="8"/>
    </row>
    <row r="343" spans="1:9">
      <c r="A343" s="7">
        <v>46364</v>
      </c>
      <c r="B343" s="5" t="s">
        <v>40</v>
      </c>
      <c r="C343" s="5">
        <v>0</v>
      </c>
      <c r="D343" s="5">
        <v>0</v>
      </c>
      <c r="E343" s="5">
        <v>0</v>
      </c>
      <c r="F343" s="5">
        <v>0</v>
      </c>
      <c r="G343" s="6">
        <f t="shared" si="33"/>
        <v>0</v>
      </c>
      <c r="H343" s="92"/>
      <c r="I343" s="8"/>
    </row>
    <row r="344" spans="1:9">
      <c r="A344" s="7">
        <v>46365</v>
      </c>
      <c r="B344" s="5" t="s">
        <v>40</v>
      </c>
      <c r="C344" s="5">
        <v>0</v>
      </c>
      <c r="D344" s="5">
        <v>0</v>
      </c>
      <c r="E344" s="5">
        <v>0</v>
      </c>
      <c r="F344" s="5">
        <v>0</v>
      </c>
      <c r="G344" s="6">
        <f t="shared" si="33"/>
        <v>0</v>
      </c>
      <c r="H344" s="92"/>
      <c r="I344" s="8"/>
    </row>
    <row r="345" spans="1:9">
      <c r="A345" s="7">
        <v>46366</v>
      </c>
      <c r="B345" s="5" t="s">
        <v>40</v>
      </c>
      <c r="C345" s="5">
        <v>0</v>
      </c>
      <c r="D345" s="5">
        <v>0</v>
      </c>
      <c r="E345" s="5">
        <v>0</v>
      </c>
      <c r="F345" s="5">
        <v>0</v>
      </c>
      <c r="G345" s="6">
        <f t="shared" si="33"/>
        <v>0</v>
      </c>
      <c r="H345" s="92"/>
      <c r="I345" s="8"/>
    </row>
    <row r="346" spans="1:9">
      <c r="A346" s="7">
        <v>46367</v>
      </c>
      <c r="B346" s="5" t="s">
        <v>40</v>
      </c>
      <c r="C346" s="5">
        <v>0</v>
      </c>
      <c r="D346" s="5">
        <v>0</v>
      </c>
      <c r="E346" s="5">
        <v>0</v>
      </c>
      <c r="F346" s="5">
        <v>0</v>
      </c>
      <c r="G346" s="6">
        <f t="shared" si="33"/>
        <v>0</v>
      </c>
      <c r="H346" s="92"/>
      <c r="I346" s="8"/>
    </row>
    <row r="347" spans="1:9">
      <c r="A347" s="7">
        <v>46368</v>
      </c>
      <c r="B347" s="5" t="s">
        <v>40</v>
      </c>
      <c r="C347" s="5">
        <v>0</v>
      </c>
      <c r="D347" s="5">
        <v>0</v>
      </c>
      <c r="E347" s="5">
        <v>0</v>
      </c>
      <c r="F347" s="5">
        <v>0</v>
      </c>
      <c r="G347" s="6">
        <f t="shared" si="33"/>
        <v>0</v>
      </c>
      <c r="H347" s="92"/>
      <c r="I347" s="8"/>
    </row>
    <row r="348" spans="1:9">
      <c r="A348" s="7">
        <v>46369</v>
      </c>
      <c r="B348" s="5" t="s">
        <v>40</v>
      </c>
      <c r="C348" s="5">
        <v>0</v>
      </c>
      <c r="D348" s="5">
        <v>0</v>
      </c>
      <c r="E348" s="5">
        <v>0</v>
      </c>
      <c r="F348" s="5">
        <v>0</v>
      </c>
      <c r="G348" s="6">
        <f t="shared" si="33"/>
        <v>0</v>
      </c>
      <c r="H348" s="93"/>
      <c r="I348" s="8"/>
    </row>
    <row r="349" spans="1:9">
      <c r="A349" s="7">
        <v>46370</v>
      </c>
      <c r="B349" s="5" t="s">
        <v>40</v>
      </c>
      <c r="C349" s="5">
        <v>0</v>
      </c>
      <c r="D349" s="5">
        <v>0</v>
      </c>
      <c r="E349" s="5">
        <v>0</v>
      </c>
      <c r="F349" s="5">
        <v>0</v>
      </c>
      <c r="G349" s="6">
        <f t="shared" si="33"/>
        <v>0</v>
      </c>
      <c r="H349" s="91">
        <f t="shared" ref="H349" si="37">SUM(G349:G355)</f>
        <v>0</v>
      </c>
      <c r="I349" s="8"/>
    </row>
    <row r="350" spans="1:9">
      <c r="A350" s="7">
        <v>46371</v>
      </c>
      <c r="B350" s="5" t="s">
        <v>40</v>
      </c>
      <c r="C350" s="5">
        <v>0</v>
      </c>
      <c r="D350" s="5">
        <v>0</v>
      </c>
      <c r="E350" s="5">
        <v>0</v>
      </c>
      <c r="F350" s="5">
        <v>0</v>
      </c>
      <c r="G350" s="6">
        <f t="shared" si="33"/>
        <v>0</v>
      </c>
      <c r="H350" s="92"/>
      <c r="I350" s="8"/>
    </row>
    <row r="351" spans="1:9">
      <c r="A351" s="7">
        <v>46372</v>
      </c>
      <c r="B351" s="5" t="s">
        <v>40</v>
      </c>
      <c r="C351" s="5">
        <v>0</v>
      </c>
      <c r="D351" s="5">
        <v>0</v>
      </c>
      <c r="E351" s="5">
        <v>0</v>
      </c>
      <c r="F351" s="5">
        <v>0</v>
      </c>
      <c r="G351" s="6">
        <f t="shared" si="33"/>
        <v>0</v>
      </c>
      <c r="H351" s="92"/>
      <c r="I351" s="8"/>
    </row>
    <row r="352" spans="1:9">
      <c r="A352" s="7">
        <v>46373</v>
      </c>
      <c r="B352" s="5" t="s">
        <v>40</v>
      </c>
      <c r="C352" s="5">
        <v>0</v>
      </c>
      <c r="D352" s="5">
        <v>0</v>
      </c>
      <c r="E352" s="5">
        <v>0</v>
      </c>
      <c r="F352" s="5">
        <v>0</v>
      </c>
      <c r="G352" s="6">
        <f t="shared" si="33"/>
        <v>0</v>
      </c>
      <c r="H352" s="92"/>
      <c r="I352" s="8"/>
    </row>
    <row r="353" spans="1:9">
      <c r="A353" s="7">
        <v>46374</v>
      </c>
      <c r="B353" s="5" t="s">
        <v>40</v>
      </c>
      <c r="C353" s="5">
        <v>0</v>
      </c>
      <c r="D353" s="5">
        <v>0</v>
      </c>
      <c r="E353" s="5">
        <v>0</v>
      </c>
      <c r="F353" s="5">
        <v>0</v>
      </c>
      <c r="G353" s="6">
        <f t="shared" si="33"/>
        <v>0</v>
      </c>
      <c r="H353" s="92"/>
      <c r="I353" s="8"/>
    </row>
    <row r="354" spans="1:9">
      <c r="A354" s="7">
        <v>46375</v>
      </c>
      <c r="B354" s="5" t="s">
        <v>40</v>
      </c>
      <c r="C354" s="5">
        <v>0</v>
      </c>
      <c r="D354" s="5">
        <v>0</v>
      </c>
      <c r="E354" s="5">
        <v>0</v>
      </c>
      <c r="F354" s="5">
        <v>0</v>
      </c>
      <c r="G354" s="6">
        <f t="shared" si="33"/>
        <v>0</v>
      </c>
      <c r="H354" s="92"/>
      <c r="I354" s="8"/>
    </row>
    <row r="355" spans="1:9">
      <c r="A355" s="7">
        <v>46376</v>
      </c>
      <c r="B355" s="5" t="s">
        <v>40</v>
      </c>
      <c r="C355" s="5">
        <v>0</v>
      </c>
      <c r="D355" s="5">
        <v>0</v>
      </c>
      <c r="E355" s="5">
        <v>0</v>
      </c>
      <c r="F355" s="5">
        <v>0</v>
      </c>
      <c r="G355" s="6">
        <f t="shared" si="33"/>
        <v>0</v>
      </c>
      <c r="H355" s="93"/>
      <c r="I355" s="8"/>
    </row>
    <row r="356" spans="1:9">
      <c r="A356" s="7">
        <v>46377</v>
      </c>
      <c r="B356" s="5" t="s">
        <v>40</v>
      </c>
      <c r="C356" s="5">
        <v>0</v>
      </c>
      <c r="D356" s="5">
        <v>0</v>
      </c>
      <c r="E356" s="5">
        <v>0</v>
      </c>
      <c r="F356" s="5">
        <v>0</v>
      </c>
      <c r="G356" s="6">
        <f t="shared" si="33"/>
        <v>0</v>
      </c>
      <c r="H356" s="91">
        <f t="shared" ref="H356" si="38">SUM(G356:G362)</f>
        <v>0</v>
      </c>
      <c r="I356" s="8"/>
    </row>
    <row r="357" spans="1:9">
      <c r="A357" s="7">
        <v>46378</v>
      </c>
      <c r="B357" s="5" t="s">
        <v>40</v>
      </c>
      <c r="C357" s="5">
        <v>0</v>
      </c>
      <c r="D357" s="5">
        <v>0</v>
      </c>
      <c r="E357" s="5">
        <v>0</v>
      </c>
      <c r="F357" s="5">
        <v>0</v>
      </c>
      <c r="G357" s="6">
        <f t="shared" si="33"/>
        <v>0</v>
      </c>
      <c r="H357" s="92"/>
      <c r="I357" s="8"/>
    </row>
    <row r="358" spans="1:9">
      <c r="A358" s="7">
        <v>46379</v>
      </c>
      <c r="B358" s="5" t="s">
        <v>40</v>
      </c>
      <c r="C358" s="5">
        <v>0</v>
      </c>
      <c r="D358" s="5">
        <v>0</v>
      </c>
      <c r="E358" s="5">
        <v>0</v>
      </c>
      <c r="F358" s="5">
        <v>0</v>
      </c>
      <c r="G358" s="6">
        <f t="shared" si="33"/>
        <v>0</v>
      </c>
      <c r="H358" s="92"/>
      <c r="I358" s="8"/>
    </row>
    <row r="359" spans="1:9">
      <c r="A359" s="7">
        <v>46380</v>
      </c>
      <c r="B359" s="5" t="s">
        <v>40</v>
      </c>
      <c r="C359" s="5">
        <v>0</v>
      </c>
      <c r="D359" s="5">
        <v>0</v>
      </c>
      <c r="E359" s="5">
        <v>0</v>
      </c>
      <c r="F359" s="5">
        <v>0</v>
      </c>
      <c r="G359" s="6">
        <f t="shared" si="33"/>
        <v>0</v>
      </c>
      <c r="H359" s="92"/>
      <c r="I359" s="8"/>
    </row>
    <row r="360" spans="1:9">
      <c r="A360" s="7">
        <v>46381</v>
      </c>
      <c r="B360" s="5" t="s">
        <v>40</v>
      </c>
      <c r="C360" s="5">
        <v>0</v>
      </c>
      <c r="D360" s="5">
        <v>0</v>
      </c>
      <c r="E360" s="5">
        <v>0</v>
      </c>
      <c r="F360" s="5">
        <v>0</v>
      </c>
      <c r="G360" s="6">
        <f t="shared" si="33"/>
        <v>0</v>
      </c>
      <c r="H360" s="92"/>
      <c r="I360" s="8"/>
    </row>
    <row r="361" spans="1:9">
      <c r="A361" s="7">
        <v>46382</v>
      </c>
      <c r="B361" s="5" t="s">
        <v>40</v>
      </c>
      <c r="C361" s="5">
        <v>0</v>
      </c>
      <c r="D361" s="5">
        <v>0</v>
      </c>
      <c r="E361" s="5">
        <v>0</v>
      </c>
      <c r="F361" s="5">
        <v>0</v>
      </c>
      <c r="G361" s="6">
        <f t="shared" si="33"/>
        <v>0</v>
      </c>
      <c r="H361" s="92"/>
      <c r="I361" s="8"/>
    </row>
    <row r="362" spans="1:9">
      <c r="A362" s="7">
        <v>46383</v>
      </c>
      <c r="B362" s="5" t="s">
        <v>40</v>
      </c>
      <c r="C362" s="5">
        <v>0</v>
      </c>
      <c r="D362" s="5">
        <v>0</v>
      </c>
      <c r="E362" s="5">
        <v>0</v>
      </c>
      <c r="F362" s="5">
        <v>0</v>
      </c>
      <c r="G362" s="6">
        <f t="shared" si="33"/>
        <v>0</v>
      </c>
      <c r="H362" s="93"/>
      <c r="I362" s="8"/>
    </row>
    <row r="363" spans="1:9">
      <c r="A363" s="7">
        <v>46384</v>
      </c>
      <c r="B363" s="5" t="s">
        <v>40</v>
      </c>
      <c r="C363" s="5">
        <v>0</v>
      </c>
      <c r="D363" s="5">
        <v>0</v>
      </c>
      <c r="E363" s="5">
        <v>0</v>
      </c>
      <c r="F363" s="5">
        <v>0</v>
      </c>
      <c r="G363" s="6">
        <f t="shared" si="33"/>
        <v>0</v>
      </c>
      <c r="H363" s="12"/>
      <c r="I363" s="8"/>
    </row>
    <row r="364" spans="1:9">
      <c r="A364" s="7">
        <v>46385</v>
      </c>
      <c r="B364" s="5" t="s">
        <v>40</v>
      </c>
      <c r="C364" s="5">
        <v>0</v>
      </c>
      <c r="D364" s="5">
        <v>0</v>
      </c>
      <c r="E364" s="5">
        <v>0</v>
      </c>
      <c r="F364" s="5">
        <v>0</v>
      </c>
      <c r="G364" s="6">
        <f t="shared" si="33"/>
        <v>0</v>
      </c>
      <c r="H364" s="12"/>
      <c r="I364" s="8"/>
    </row>
    <row r="365" spans="1:9">
      <c r="A365" s="7">
        <v>46386</v>
      </c>
      <c r="B365" s="5" t="s">
        <v>40</v>
      </c>
      <c r="C365" s="5">
        <v>0</v>
      </c>
      <c r="D365" s="5">
        <v>0</v>
      </c>
      <c r="E365" s="5">
        <v>0</v>
      </c>
      <c r="F365" s="5">
        <v>0</v>
      </c>
      <c r="G365" s="6">
        <f t="shared" si="33"/>
        <v>0</v>
      </c>
      <c r="H365" s="12"/>
      <c r="I365" s="8"/>
    </row>
    <row r="366" spans="1:9">
      <c r="A366" s="7">
        <v>46387</v>
      </c>
      <c r="B366" s="5" t="s">
        <v>40</v>
      </c>
      <c r="C366" s="5">
        <v>0</v>
      </c>
      <c r="D366" s="5">
        <v>0</v>
      </c>
      <c r="E366" s="5">
        <v>0</v>
      </c>
      <c r="F366" s="5">
        <v>0</v>
      </c>
      <c r="G366" s="6">
        <f t="shared" si="33"/>
        <v>0</v>
      </c>
      <c r="H366" s="12"/>
      <c r="I366" s="8"/>
    </row>
    <row r="367" spans="1:9">
      <c r="A367" s="7">
        <v>46388</v>
      </c>
      <c r="B367" s="5" t="s">
        <v>40</v>
      </c>
      <c r="C367" s="5">
        <v>0</v>
      </c>
      <c r="D367" s="5">
        <v>0</v>
      </c>
      <c r="E367" s="5">
        <v>0</v>
      </c>
      <c r="F367" s="5">
        <v>0</v>
      </c>
      <c r="G367" s="6">
        <f t="shared" si="33"/>
        <v>0</v>
      </c>
      <c r="H367" s="12"/>
      <c r="I367" s="8"/>
    </row>
  </sheetData>
  <mergeCells count="53">
    <mergeCell ref="H111:H117"/>
    <mergeCell ref="H132:H138"/>
    <mergeCell ref="H139:H145"/>
    <mergeCell ref="H356:H362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195:H201"/>
    <mergeCell ref="H230:H236"/>
    <mergeCell ref="H237:H243"/>
    <mergeCell ref="H244:H250"/>
    <mergeCell ref="H160:H166"/>
    <mergeCell ref="H167:H173"/>
    <mergeCell ref="H174:H180"/>
    <mergeCell ref="H181:H187"/>
    <mergeCell ref="H188:H194"/>
    <mergeCell ref="H2:H5"/>
    <mergeCell ref="H6:H12"/>
    <mergeCell ref="H13:H19"/>
    <mergeCell ref="H20:H26"/>
    <mergeCell ref="H27:H33"/>
    <mergeCell ref="H272:H278"/>
    <mergeCell ref="H279:H285"/>
    <mergeCell ref="H286:H292"/>
    <mergeCell ref="H293:H299"/>
    <mergeCell ref="H202:H208"/>
    <mergeCell ref="H209:H215"/>
    <mergeCell ref="H216:H222"/>
    <mergeCell ref="H223:H229"/>
    <mergeCell ref="H265:H271"/>
    <mergeCell ref="H258:H264"/>
    <mergeCell ref="H251:H257"/>
    <mergeCell ref="H146:H152"/>
    <mergeCell ref="H153:H159"/>
    <mergeCell ref="H118:H124"/>
    <mergeCell ref="H125:H131"/>
    <mergeCell ref="K8:O16"/>
    <mergeCell ref="H69:H75"/>
    <mergeCell ref="H76:H82"/>
    <mergeCell ref="H83:H89"/>
    <mergeCell ref="H90:H96"/>
    <mergeCell ref="H97:H103"/>
    <mergeCell ref="H34:H40"/>
    <mergeCell ref="H41:H47"/>
    <mergeCell ref="H48:H54"/>
    <mergeCell ref="H55:H61"/>
    <mergeCell ref="H62:H68"/>
    <mergeCell ref="H104:H1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2B75-BFC4-45E5-B085-DEA468BD8878}">
  <dimension ref="A1:O391"/>
  <sheetViews>
    <sheetView topLeftCell="A104" workbookViewId="0">
      <selection activeCell="C123" sqref="C123"/>
    </sheetView>
  </sheetViews>
  <sheetFormatPr defaultRowHeight="15"/>
  <cols>
    <col min="1" max="1" width="10.42578125" style="4" bestFit="1" customWidth="1"/>
    <col min="2" max="2" width="18.28515625" style="4" bestFit="1" customWidth="1"/>
    <col min="3" max="4" width="9.140625" style="4"/>
    <col min="5" max="5" width="24.7109375" style="4" bestFit="1" customWidth="1"/>
    <col min="6" max="6" width="5" style="4" bestFit="1" customWidth="1"/>
    <col min="7" max="7" width="11.85546875" style="4" bestFit="1" customWidth="1"/>
    <col min="8" max="8" width="11.42578125" style="4" bestFit="1" customWidth="1"/>
    <col min="9" max="9" width="12.140625" style="4" bestFit="1" customWidth="1"/>
    <col min="10" max="16384" width="9.140625" style="4"/>
  </cols>
  <sheetData>
    <row r="1" spans="1:15">
      <c r="A1" s="13" t="s">
        <v>91</v>
      </c>
      <c r="B1" s="13" t="s">
        <v>0</v>
      </c>
      <c r="C1" s="13" t="s">
        <v>92</v>
      </c>
      <c r="D1" s="13" t="s">
        <v>93</v>
      </c>
      <c r="E1" s="13" t="s">
        <v>94</v>
      </c>
      <c r="F1" s="13" t="s">
        <v>95</v>
      </c>
      <c r="G1" s="14" t="s">
        <v>96</v>
      </c>
      <c r="H1" s="15" t="s">
        <v>97</v>
      </c>
      <c r="I1" s="15" t="s">
        <v>98</v>
      </c>
    </row>
    <row r="2" spans="1:15">
      <c r="A2" s="7">
        <v>46023</v>
      </c>
      <c r="B2" s="5" t="s">
        <v>100</v>
      </c>
      <c r="C2" s="5">
        <v>40</v>
      </c>
      <c r="D2" s="5">
        <v>2</v>
      </c>
      <c r="E2" s="5">
        <v>0</v>
      </c>
      <c r="F2" s="5">
        <v>0</v>
      </c>
      <c r="G2" s="6">
        <f>SUM(C2,E2,F2-D2)</f>
        <v>38</v>
      </c>
      <c r="H2" s="91">
        <f>SUM(G2:G5)</f>
        <v>155</v>
      </c>
      <c r="I2" s="8"/>
    </row>
    <row r="3" spans="1:15">
      <c r="A3" s="7">
        <v>46024</v>
      </c>
      <c r="B3" s="5" t="s">
        <v>100</v>
      </c>
      <c r="C3" s="5">
        <v>78</v>
      </c>
      <c r="D3" s="5">
        <v>4</v>
      </c>
      <c r="E3" s="5">
        <v>0</v>
      </c>
      <c r="F3" s="5">
        <v>0</v>
      </c>
      <c r="G3" s="6">
        <f t="shared" ref="G3:G61" si="0">SUM(C3,E3,F3-D3)</f>
        <v>74</v>
      </c>
      <c r="H3" s="92"/>
      <c r="I3" s="8"/>
    </row>
    <row r="4" spans="1:15">
      <c r="A4" s="7">
        <v>46025</v>
      </c>
      <c r="B4" s="5" t="s">
        <v>100</v>
      </c>
      <c r="C4" s="5">
        <v>29</v>
      </c>
      <c r="D4" s="5">
        <v>2</v>
      </c>
      <c r="E4" s="5">
        <v>0</v>
      </c>
      <c r="F4" s="5">
        <v>0</v>
      </c>
      <c r="G4" s="6">
        <f t="shared" si="0"/>
        <v>27</v>
      </c>
      <c r="H4" s="92"/>
      <c r="I4" s="8"/>
    </row>
    <row r="5" spans="1:15">
      <c r="A5" s="7">
        <v>46026</v>
      </c>
      <c r="B5" s="5" t="s">
        <v>100</v>
      </c>
      <c r="C5" s="5">
        <v>16</v>
      </c>
      <c r="D5" s="5">
        <v>0</v>
      </c>
      <c r="E5" s="5">
        <v>0</v>
      </c>
      <c r="F5" s="5">
        <v>0</v>
      </c>
      <c r="G5" s="6">
        <f t="shared" si="0"/>
        <v>16</v>
      </c>
      <c r="H5" s="93"/>
      <c r="I5" s="8"/>
    </row>
    <row r="6" spans="1:15">
      <c r="A6" s="7">
        <v>46027</v>
      </c>
      <c r="B6" s="5" t="s">
        <v>100</v>
      </c>
      <c r="C6" s="5">
        <v>10</v>
      </c>
      <c r="D6" s="5">
        <v>1</v>
      </c>
      <c r="E6" s="5">
        <v>0</v>
      </c>
      <c r="F6" s="5">
        <v>0</v>
      </c>
      <c r="G6" s="6">
        <f t="shared" si="0"/>
        <v>9</v>
      </c>
      <c r="H6" s="91">
        <f>SUM(G6:G12)</f>
        <v>36</v>
      </c>
      <c r="I6" s="8"/>
    </row>
    <row r="7" spans="1:15">
      <c r="A7" s="7">
        <v>46028</v>
      </c>
      <c r="B7" s="5" t="s">
        <v>100</v>
      </c>
      <c r="C7" s="5">
        <v>8</v>
      </c>
      <c r="D7" s="5">
        <v>3</v>
      </c>
      <c r="E7" s="5">
        <v>0</v>
      </c>
      <c r="F7" s="5">
        <v>0</v>
      </c>
      <c r="G7" s="6">
        <f t="shared" si="0"/>
        <v>5</v>
      </c>
      <c r="H7" s="92"/>
      <c r="I7" s="8"/>
    </row>
    <row r="8" spans="1:15">
      <c r="A8" s="7">
        <v>46029</v>
      </c>
      <c r="B8" s="5" t="s">
        <v>100</v>
      </c>
      <c r="C8" s="5">
        <v>7</v>
      </c>
      <c r="D8" s="5">
        <v>0</v>
      </c>
      <c r="E8" s="5">
        <v>0</v>
      </c>
      <c r="F8" s="5">
        <v>0</v>
      </c>
      <c r="G8" s="6">
        <f t="shared" si="0"/>
        <v>7</v>
      </c>
      <c r="H8" s="92"/>
      <c r="I8" s="8"/>
    </row>
    <row r="9" spans="1:15">
      <c r="A9" s="7">
        <v>46030</v>
      </c>
      <c r="B9" s="5" t="s">
        <v>100</v>
      </c>
      <c r="C9" s="5">
        <v>4</v>
      </c>
      <c r="D9" s="5">
        <v>0</v>
      </c>
      <c r="E9" s="5">
        <v>0</v>
      </c>
      <c r="F9" s="5">
        <v>0</v>
      </c>
      <c r="G9" s="6">
        <f t="shared" si="0"/>
        <v>4</v>
      </c>
      <c r="H9" s="92"/>
      <c r="I9" s="8"/>
    </row>
    <row r="10" spans="1:15">
      <c r="A10" s="7">
        <v>46031</v>
      </c>
      <c r="B10" s="5" t="s">
        <v>100</v>
      </c>
      <c r="C10" s="5">
        <v>4</v>
      </c>
      <c r="D10" s="5">
        <v>0</v>
      </c>
      <c r="E10" s="5">
        <v>0</v>
      </c>
      <c r="F10" s="5">
        <v>0</v>
      </c>
      <c r="G10" s="6">
        <f t="shared" si="0"/>
        <v>4</v>
      </c>
      <c r="H10" s="92"/>
      <c r="I10" s="8"/>
      <c r="K10" s="87" t="s">
        <v>99</v>
      </c>
      <c r="L10" s="88"/>
      <c r="M10" s="88"/>
      <c r="N10" s="88"/>
      <c r="O10" s="88"/>
    </row>
    <row r="11" spans="1:15">
      <c r="A11" s="7">
        <v>46032</v>
      </c>
      <c r="B11" s="5" t="s">
        <v>100</v>
      </c>
      <c r="C11" s="5">
        <v>5</v>
      </c>
      <c r="D11" s="5">
        <v>0</v>
      </c>
      <c r="E11" s="5">
        <v>0</v>
      </c>
      <c r="F11" s="5">
        <v>0</v>
      </c>
      <c r="G11" s="6">
        <f t="shared" si="0"/>
        <v>5</v>
      </c>
      <c r="H11" s="92"/>
      <c r="I11" s="8"/>
      <c r="K11" s="88"/>
      <c r="L11" s="88"/>
      <c r="M11" s="88"/>
      <c r="N11" s="88"/>
      <c r="O11" s="88"/>
    </row>
    <row r="12" spans="1:15">
      <c r="A12" s="7">
        <v>46033</v>
      </c>
      <c r="B12" s="5" t="s">
        <v>100</v>
      </c>
      <c r="C12" s="5">
        <v>2</v>
      </c>
      <c r="D12" s="5">
        <v>0</v>
      </c>
      <c r="E12" s="5">
        <v>0</v>
      </c>
      <c r="F12" s="5">
        <v>0</v>
      </c>
      <c r="G12" s="6">
        <f t="shared" si="0"/>
        <v>2</v>
      </c>
      <c r="H12" s="93"/>
      <c r="I12" s="8"/>
      <c r="K12" s="88"/>
      <c r="L12" s="88"/>
      <c r="M12" s="88"/>
      <c r="N12" s="88"/>
      <c r="O12" s="88"/>
    </row>
    <row r="13" spans="1:15">
      <c r="A13" s="7">
        <v>46034</v>
      </c>
      <c r="B13" s="5" t="s">
        <v>100</v>
      </c>
      <c r="C13" s="5">
        <v>5</v>
      </c>
      <c r="D13" s="5">
        <v>1</v>
      </c>
      <c r="E13" s="5">
        <v>0</v>
      </c>
      <c r="F13" s="5">
        <v>0</v>
      </c>
      <c r="G13" s="6">
        <f t="shared" si="0"/>
        <v>4</v>
      </c>
      <c r="H13" s="91">
        <f>SUM(G13:G19)</f>
        <v>16</v>
      </c>
      <c r="I13" s="8"/>
      <c r="K13" s="88"/>
      <c r="L13" s="88"/>
      <c r="M13" s="88"/>
      <c r="N13" s="88"/>
      <c r="O13" s="88"/>
    </row>
    <row r="14" spans="1:15">
      <c r="A14" s="7">
        <v>46035</v>
      </c>
      <c r="B14" s="5" t="s">
        <v>100</v>
      </c>
      <c r="C14" s="5">
        <v>4</v>
      </c>
      <c r="D14" s="5">
        <v>1</v>
      </c>
      <c r="E14" s="5">
        <v>0</v>
      </c>
      <c r="F14" s="5">
        <v>0</v>
      </c>
      <c r="G14" s="6">
        <f t="shared" si="0"/>
        <v>3</v>
      </c>
      <c r="H14" s="92"/>
      <c r="I14" s="8"/>
      <c r="K14" s="88"/>
      <c r="L14" s="88"/>
      <c r="M14" s="88"/>
      <c r="N14" s="88"/>
      <c r="O14" s="88"/>
    </row>
    <row r="15" spans="1:15">
      <c r="A15" s="7">
        <v>46036</v>
      </c>
      <c r="B15" s="5" t="s">
        <v>100</v>
      </c>
      <c r="C15" s="5">
        <v>1</v>
      </c>
      <c r="D15" s="5">
        <v>0</v>
      </c>
      <c r="E15" s="5">
        <v>0</v>
      </c>
      <c r="F15" s="5">
        <v>0</v>
      </c>
      <c r="G15" s="6">
        <f t="shared" si="0"/>
        <v>1</v>
      </c>
      <c r="H15" s="92"/>
      <c r="I15" s="8"/>
      <c r="K15" s="88"/>
      <c r="L15" s="88"/>
      <c r="M15" s="88"/>
      <c r="N15" s="88"/>
      <c r="O15" s="88"/>
    </row>
    <row r="16" spans="1:15">
      <c r="A16" s="7">
        <v>46037</v>
      </c>
      <c r="B16" s="5" t="s">
        <v>100</v>
      </c>
      <c r="C16" s="5">
        <v>3</v>
      </c>
      <c r="D16" s="5">
        <v>1</v>
      </c>
      <c r="E16" s="5">
        <v>0</v>
      </c>
      <c r="F16" s="5">
        <v>0</v>
      </c>
      <c r="G16" s="6">
        <f t="shared" si="0"/>
        <v>2</v>
      </c>
      <c r="H16" s="92"/>
      <c r="I16" s="8"/>
      <c r="K16" s="88"/>
      <c r="L16" s="88"/>
      <c r="M16" s="88"/>
      <c r="N16" s="88"/>
      <c r="O16" s="88"/>
    </row>
    <row r="17" spans="1:15">
      <c r="A17" s="7">
        <v>46038</v>
      </c>
      <c r="B17" s="5" t="s">
        <v>100</v>
      </c>
      <c r="C17" s="5">
        <v>4</v>
      </c>
      <c r="D17" s="5">
        <v>1</v>
      </c>
      <c r="E17" s="5">
        <v>0</v>
      </c>
      <c r="F17" s="5">
        <v>0</v>
      </c>
      <c r="G17" s="6">
        <f t="shared" si="0"/>
        <v>3</v>
      </c>
      <c r="H17" s="92"/>
      <c r="I17" s="8"/>
      <c r="K17" s="88"/>
      <c r="L17" s="88"/>
      <c r="M17" s="88"/>
      <c r="N17" s="88"/>
      <c r="O17" s="88"/>
    </row>
    <row r="18" spans="1:15">
      <c r="A18" s="7">
        <v>46039</v>
      </c>
      <c r="B18" s="5" t="s">
        <v>100</v>
      </c>
      <c r="C18" s="5">
        <v>1</v>
      </c>
      <c r="D18" s="5">
        <v>0</v>
      </c>
      <c r="E18" s="5">
        <v>0</v>
      </c>
      <c r="F18" s="5">
        <v>0</v>
      </c>
      <c r="G18" s="6">
        <f t="shared" si="0"/>
        <v>1</v>
      </c>
      <c r="H18" s="92"/>
      <c r="I18" s="8"/>
      <c r="K18" s="88"/>
      <c r="L18" s="88"/>
      <c r="M18" s="88"/>
      <c r="N18" s="88"/>
      <c r="O18" s="88"/>
    </row>
    <row r="19" spans="1:15">
      <c r="A19" s="7">
        <v>46040</v>
      </c>
      <c r="B19" s="5" t="s">
        <v>100</v>
      </c>
      <c r="C19" s="5">
        <v>2</v>
      </c>
      <c r="D19" s="5">
        <v>0</v>
      </c>
      <c r="E19" s="5">
        <v>0</v>
      </c>
      <c r="F19" s="5">
        <v>0</v>
      </c>
      <c r="G19" s="6">
        <f t="shared" si="0"/>
        <v>2</v>
      </c>
      <c r="H19" s="93"/>
      <c r="I19" s="8"/>
    </row>
    <row r="20" spans="1:15">
      <c r="A20" s="7">
        <v>46041</v>
      </c>
      <c r="B20" s="5" t="s">
        <v>100</v>
      </c>
      <c r="C20" s="5">
        <v>2</v>
      </c>
      <c r="D20" s="5">
        <v>0</v>
      </c>
      <c r="E20" s="5">
        <v>0</v>
      </c>
      <c r="F20" s="5">
        <v>0</v>
      </c>
      <c r="G20" s="6">
        <f t="shared" si="0"/>
        <v>2</v>
      </c>
      <c r="H20" s="91">
        <f>SUM(G20:G26)</f>
        <v>12</v>
      </c>
      <c r="I20" s="8"/>
    </row>
    <row r="21" spans="1:15">
      <c r="A21" s="7">
        <v>46042</v>
      </c>
      <c r="B21" s="5" t="s">
        <v>100</v>
      </c>
      <c r="C21" s="5">
        <v>1</v>
      </c>
      <c r="D21" s="5">
        <v>0</v>
      </c>
      <c r="E21" s="5">
        <v>0</v>
      </c>
      <c r="F21" s="5">
        <v>0</v>
      </c>
      <c r="G21" s="6">
        <f t="shared" si="0"/>
        <v>1</v>
      </c>
      <c r="H21" s="92"/>
      <c r="I21" s="8"/>
    </row>
    <row r="22" spans="1:15">
      <c r="A22" s="7">
        <v>46043</v>
      </c>
      <c r="B22" s="5" t="s">
        <v>100</v>
      </c>
      <c r="C22" s="5">
        <v>6</v>
      </c>
      <c r="D22" s="5">
        <v>1</v>
      </c>
      <c r="E22" s="5">
        <v>0</v>
      </c>
      <c r="F22" s="5">
        <v>0</v>
      </c>
      <c r="G22" s="6">
        <f t="shared" si="0"/>
        <v>5</v>
      </c>
      <c r="H22" s="92"/>
      <c r="I22" s="8"/>
    </row>
    <row r="23" spans="1:15">
      <c r="A23" s="7">
        <v>46044</v>
      </c>
      <c r="B23" s="5" t="s">
        <v>100</v>
      </c>
      <c r="C23" s="5">
        <v>1</v>
      </c>
      <c r="D23" s="5">
        <v>1</v>
      </c>
      <c r="E23" s="5">
        <v>0</v>
      </c>
      <c r="F23" s="5">
        <v>0</v>
      </c>
      <c r="G23" s="6">
        <f t="shared" si="0"/>
        <v>0</v>
      </c>
      <c r="H23" s="92"/>
      <c r="I23" s="8"/>
    </row>
    <row r="24" spans="1:15">
      <c r="A24" s="7">
        <v>46045</v>
      </c>
      <c r="B24" s="5" t="s">
        <v>100</v>
      </c>
      <c r="C24" s="5">
        <v>3</v>
      </c>
      <c r="D24" s="5">
        <v>0</v>
      </c>
      <c r="E24" s="5">
        <v>0</v>
      </c>
      <c r="F24" s="5">
        <v>0</v>
      </c>
      <c r="G24" s="6">
        <f t="shared" si="0"/>
        <v>3</v>
      </c>
      <c r="H24" s="92"/>
      <c r="I24" s="8"/>
    </row>
    <row r="25" spans="1:15">
      <c r="A25" s="7">
        <v>46046</v>
      </c>
      <c r="B25" s="5" t="s">
        <v>100</v>
      </c>
      <c r="C25" s="5">
        <v>3</v>
      </c>
      <c r="D25" s="5">
        <v>1</v>
      </c>
      <c r="E25" s="5">
        <v>0</v>
      </c>
      <c r="F25" s="5">
        <v>0</v>
      </c>
      <c r="G25" s="6">
        <f t="shared" si="0"/>
        <v>2</v>
      </c>
      <c r="H25" s="92"/>
      <c r="I25" s="8"/>
    </row>
    <row r="26" spans="1:15">
      <c r="A26" s="7">
        <v>46047</v>
      </c>
      <c r="B26" s="5" t="s">
        <v>100</v>
      </c>
      <c r="C26" s="5">
        <v>0</v>
      </c>
      <c r="D26" s="5">
        <v>1</v>
      </c>
      <c r="E26" s="5">
        <v>0</v>
      </c>
      <c r="F26" s="5">
        <v>0</v>
      </c>
      <c r="G26" s="6">
        <f t="shared" si="0"/>
        <v>-1</v>
      </c>
      <c r="H26" s="93"/>
      <c r="I26" s="8"/>
    </row>
    <row r="27" spans="1:15">
      <c r="A27" s="7">
        <v>46048</v>
      </c>
      <c r="B27" s="5" t="s">
        <v>100</v>
      </c>
      <c r="C27" s="5">
        <v>7</v>
      </c>
      <c r="D27" s="5">
        <v>1</v>
      </c>
      <c r="E27" s="5">
        <v>0</v>
      </c>
      <c r="F27" s="5">
        <v>0</v>
      </c>
      <c r="G27" s="6">
        <f t="shared" si="0"/>
        <v>6</v>
      </c>
      <c r="H27" s="91">
        <f>SUM(G27:G33)</f>
        <v>23</v>
      </c>
      <c r="I27" s="8"/>
    </row>
    <row r="28" spans="1:15">
      <c r="A28" s="7">
        <v>46049</v>
      </c>
      <c r="B28" s="5" t="s">
        <v>100</v>
      </c>
      <c r="C28" s="5">
        <v>0</v>
      </c>
      <c r="D28" s="5">
        <v>1</v>
      </c>
      <c r="E28" s="5">
        <v>0</v>
      </c>
      <c r="F28" s="5">
        <v>0</v>
      </c>
      <c r="G28" s="6">
        <f t="shared" si="0"/>
        <v>-1</v>
      </c>
      <c r="H28" s="92"/>
      <c r="I28" s="8"/>
    </row>
    <row r="29" spans="1:15">
      <c r="A29" s="7">
        <v>46050</v>
      </c>
      <c r="B29" s="5" t="s">
        <v>100</v>
      </c>
      <c r="C29" s="5">
        <v>7</v>
      </c>
      <c r="D29" s="5">
        <v>0</v>
      </c>
      <c r="E29" s="5">
        <v>0</v>
      </c>
      <c r="F29" s="5">
        <v>0</v>
      </c>
      <c r="G29" s="6">
        <f t="shared" si="0"/>
        <v>7</v>
      </c>
      <c r="H29" s="92"/>
      <c r="I29" s="8"/>
    </row>
    <row r="30" spans="1:15">
      <c r="A30" s="7">
        <v>46051</v>
      </c>
      <c r="B30" s="5" t="s">
        <v>100</v>
      </c>
      <c r="C30" s="5">
        <v>4</v>
      </c>
      <c r="D30" s="5">
        <v>0</v>
      </c>
      <c r="E30" s="5">
        <v>0</v>
      </c>
      <c r="F30" s="5">
        <v>0</v>
      </c>
      <c r="G30" s="6">
        <f t="shared" si="0"/>
        <v>4</v>
      </c>
      <c r="H30" s="92"/>
      <c r="I30" s="8"/>
    </row>
    <row r="31" spans="1:15">
      <c r="A31" s="7">
        <v>46052</v>
      </c>
      <c r="B31" s="5" t="s">
        <v>100</v>
      </c>
      <c r="C31" s="5">
        <v>5</v>
      </c>
      <c r="D31" s="5">
        <v>0</v>
      </c>
      <c r="E31" s="5">
        <v>0</v>
      </c>
      <c r="F31" s="5">
        <v>0</v>
      </c>
      <c r="G31" s="6">
        <f t="shared" si="0"/>
        <v>5</v>
      </c>
      <c r="H31" s="92"/>
      <c r="I31" s="8"/>
    </row>
    <row r="32" spans="1:15">
      <c r="A32" s="7">
        <v>46053</v>
      </c>
      <c r="B32" s="5" t="s">
        <v>100</v>
      </c>
      <c r="C32" s="5">
        <v>2</v>
      </c>
      <c r="D32" s="5">
        <v>1</v>
      </c>
      <c r="E32" s="5">
        <v>0</v>
      </c>
      <c r="F32" s="5">
        <v>0</v>
      </c>
      <c r="G32" s="6">
        <f t="shared" si="0"/>
        <v>1</v>
      </c>
      <c r="H32" s="92"/>
      <c r="I32" s="8"/>
    </row>
    <row r="33" spans="1:9">
      <c r="A33" s="7">
        <v>46054</v>
      </c>
      <c r="B33" s="5" t="s">
        <v>100</v>
      </c>
      <c r="C33" s="5">
        <v>2</v>
      </c>
      <c r="D33" s="5">
        <v>2</v>
      </c>
      <c r="E33" s="5">
        <v>1</v>
      </c>
      <c r="F33" s="5">
        <v>0</v>
      </c>
      <c r="G33" s="6">
        <f t="shared" si="0"/>
        <v>1</v>
      </c>
      <c r="H33" s="93"/>
      <c r="I33" s="8"/>
    </row>
    <row r="34" spans="1:9">
      <c r="A34" s="7">
        <v>46055</v>
      </c>
      <c r="B34" s="5" t="s">
        <v>100</v>
      </c>
      <c r="C34" s="5">
        <v>8</v>
      </c>
      <c r="D34" s="5">
        <v>0</v>
      </c>
      <c r="E34" s="5">
        <v>0</v>
      </c>
      <c r="F34" s="5">
        <v>0</v>
      </c>
      <c r="G34" s="6">
        <f t="shared" si="0"/>
        <v>8</v>
      </c>
      <c r="H34" s="91">
        <f>SUM(G34:G40)</f>
        <v>30</v>
      </c>
      <c r="I34" s="8"/>
    </row>
    <row r="35" spans="1:9">
      <c r="A35" s="7">
        <v>46056</v>
      </c>
      <c r="B35" s="5" t="s">
        <v>100</v>
      </c>
      <c r="C35" s="5">
        <v>4</v>
      </c>
      <c r="D35" s="5">
        <v>1</v>
      </c>
      <c r="E35" s="5">
        <v>0</v>
      </c>
      <c r="F35" s="5">
        <v>0</v>
      </c>
      <c r="G35" s="6">
        <f t="shared" si="0"/>
        <v>3</v>
      </c>
      <c r="H35" s="92"/>
      <c r="I35" s="8"/>
    </row>
    <row r="36" spans="1:9">
      <c r="A36" s="7">
        <v>46057</v>
      </c>
      <c r="B36" s="5" t="s">
        <v>100</v>
      </c>
      <c r="C36" s="5">
        <v>6</v>
      </c>
      <c r="D36" s="5">
        <v>1</v>
      </c>
      <c r="E36" s="5">
        <v>0</v>
      </c>
      <c r="F36" s="5">
        <v>0</v>
      </c>
      <c r="G36" s="6">
        <f t="shared" si="0"/>
        <v>5</v>
      </c>
      <c r="H36" s="92"/>
      <c r="I36" s="8"/>
    </row>
    <row r="37" spans="1:9">
      <c r="A37" s="7">
        <v>46058</v>
      </c>
      <c r="B37" s="5" t="s">
        <v>100</v>
      </c>
      <c r="C37" s="5">
        <v>2</v>
      </c>
      <c r="D37" s="5">
        <v>0</v>
      </c>
      <c r="E37" s="5">
        <v>0</v>
      </c>
      <c r="F37" s="5">
        <v>0</v>
      </c>
      <c r="G37" s="6">
        <f t="shared" si="0"/>
        <v>2</v>
      </c>
      <c r="H37" s="92"/>
      <c r="I37" s="8"/>
    </row>
    <row r="38" spans="1:9">
      <c r="A38" s="7">
        <v>46059</v>
      </c>
      <c r="B38" s="5" t="s">
        <v>100</v>
      </c>
      <c r="C38" s="5">
        <v>4</v>
      </c>
      <c r="D38" s="5">
        <v>0</v>
      </c>
      <c r="E38" s="5">
        <v>0</v>
      </c>
      <c r="F38" s="5">
        <v>0</v>
      </c>
      <c r="G38" s="6">
        <f t="shared" si="0"/>
        <v>4</v>
      </c>
      <c r="H38" s="92"/>
      <c r="I38" s="8"/>
    </row>
    <row r="39" spans="1:9">
      <c r="A39" s="7">
        <v>46060</v>
      </c>
      <c r="B39" s="5" t="s">
        <v>100</v>
      </c>
      <c r="C39" s="5">
        <v>3</v>
      </c>
      <c r="D39" s="5">
        <v>1</v>
      </c>
      <c r="E39" s="5">
        <v>0</v>
      </c>
      <c r="F39" s="5">
        <v>0</v>
      </c>
      <c r="G39" s="6">
        <f t="shared" si="0"/>
        <v>2</v>
      </c>
      <c r="H39" s="92"/>
      <c r="I39" s="8"/>
    </row>
    <row r="40" spans="1:9">
      <c r="A40" s="7">
        <v>46061</v>
      </c>
      <c r="B40" s="5" t="s">
        <v>100</v>
      </c>
      <c r="C40" s="5">
        <v>6</v>
      </c>
      <c r="D40" s="5">
        <v>0</v>
      </c>
      <c r="E40" s="5">
        <v>0</v>
      </c>
      <c r="F40" s="5">
        <v>0</v>
      </c>
      <c r="G40" s="6">
        <f t="shared" si="0"/>
        <v>6</v>
      </c>
      <c r="H40" s="93"/>
      <c r="I40" s="8"/>
    </row>
    <row r="41" spans="1:9">
      <c r="A41" s="7">
        <v>46062</v>
      </c>
      <c r="B41" s="5" t="s">
        <v>100</v>
      </c>
      <c r="C41" s="5">
        <v>1</v>
      </c>
      <c r="D41" s="5">
        <v>1</v>
      </c>
      <c r="E41" s="5">
        <v>0</v>
      </c>
      <c r="F41" s="5">
        <v>0</v>
      </c>
      <c r="G41" s="6">
        <f t="shared" si="0"/>
        <v>0</v>
      </c>
      <c r="H41" s="91">
        <f>SUM(G41:G47)</f>
        <v>29</v>
      </c>
      <c r="I41" s="8"/>
    </row>
    <row r="42" spans="1:9">
      <c r="A42" s="7">
        <v>46063</v>
      </c>
      <c r="B42" s="5" t="s">
        <v>100</v>
      </c>
      <c r="C42" s="5">
        <v>3</v>
      </c>
      <c r="D42" s="5">
        <v>0</v>
      </c>
      <c r="E42" s="5">
        <v>0</v>
      </c>
      <c r="F42" s="5">
        <v>0</v>
      </c>
      <c r="G42" s="6">
        <f t="shared" si="0"/>
        <v>3</v>
      </c>
      <c r="H42" s="92"/>
      <c r="I42" s="8"/>
    </row>
    <row r="43" spans="1:9">
      <c r="A43" s="7">
        <v>46064</v>
      </c>
      <c r="B43" s="5" t="s">
        <v>100</v>
      </c>
      <c r="C43" s="5">
        <v>3</v>
      </c>
      <c r="D43" s="5">
        <v>0</v>
      </c>
      <c r="E43" s="5">
        <v>0</v>
      </c>
      <c r="F43" s="5">
        <v>0</v>
      </c>
      <c r="G43" s="6">
        <f t="shared" si="0"/>
        <v>3</v>
      </c>
      <c r="H43" s="92"/>
      <c r="I43" s="8"/>
    </row>
    <row r="44" spans="1:9">
      <c r="A44" s="7">
        <v>46065</v>
      </c>
      <c r="B44" s="5" t="s">
        <v>100</v>
      </c>
      <c r="C44" s="5">
        <v>12</v>
      </c>
      <c r="D44" s="5">
        <v>1</v>
      </c>
      <c r="E44" s="5">
        <v>0</v>
      </c>
      <c r="F44" s="5">
        <v>0</v>
      </c>
      <c r="G44" s="6">
        <f t="shared" si="0"/>
        <v>11</v>
      </c>
      <c r="H44" s="92"/>
      <c r="I44" s="8"/>
    </row>
    <row r="45" spans="1:9">
      <c r="A45" s="7">
        <v>46066</v>
      </c>
      <c r="B45" s="5" t="s">
        <v>100</v>
      </c>
      <c r="C45" s="5">
        <v>4</v>
      </c>
      <c r="D45" s="5">
        <v>0</v>
      </c>
      <c r="E45" s="5">
        <v>0</v>
      </c>
      <c r="F45" s="5">
        <v>0</v>
      </c>
      <c r="G45" s="6">
        <f t="shared" si="0"/>
        <v>4</v>
      </c>
      <c r="H45" s="92"/>
      <c r="I45" s="8"/>
    </row>
    <row r="46" spans="1:9">
      <c r="A46" s="7">
        <v>46067</v>
      </c>
      <c r="B46" s="5" t="s">
        <v>100</v>
      </c>
      <c r="C46" s="5">
        <v>5</v>
      </c>
      <c r="D46" s="5">
        <v>2</v>
      </c>
      <c r="E46" s="5">
        <v>0</v>
      </c>
      <c r="F46" s="5">
        <v>0</v>
      </c>
      <c r="G46" s="6">
        <f t="shared" si="0"/>
        <v>3</v>
      </c>
      <c r="H46" s="92"/>
      <c r="I46" s="8"/>
    </row>
    <row r="47" spans="1:9">
      <c r="A47" s="7">
        <v>46068</v>
      </c>
      <c r="B47" s="5" t="s">
        <v>100</v>
      </c>
      <c r="C47" s="5">
        <v>5</v>
      </c>
      <c r="D47" s="5">
        <v>0</v>
      </c>
      <c r="E47" s="5">
        <v>0</v>
      </c>
      <c r="F47" s="5">
        <v>0</v>
      </c>
      <c r="G47" s="6">
        <f t="shared" si="0"/>
        <v>5</v>
      </c>
      <c r="H47" s="93"/>
      <c r="I47" s="8"/>
    </row>
    <row r="48" spans="1:9">
      <c r="A48" s="7">
        <v>46069</v>
      </c>
      <c r="B48" s="5" t="s">
        <v>100</v>
      </c>
      <c r="C48" s="5">
        <v>2</v>
      </c>
      <c r="D48" s="5">
        <v>1</v>
      </c>
      <c r="E48" s="5">
        <v>0</v>
      </c>
      <c r="F48" s="5">
        <v>0</v>
      </c>
      <c r="G48" s="6">
        <f t="shared" si="0"/>
        <v>1</v>
      </c>
      <c r="H48" s="91">
        <f>SUM(G48:G54)</f>
        <v>76</v>
      </c>
      <c r="I48" s="8"/>
    </row>
    <row r="49" spans="1:9">
      <c r="A49" s="7">
        <v>46070</v>
      </c>
      <c r="B49" s="5" t="s">
        <v>100</v>
      </c>
      <c r="C49" s="5">
        <v>2</v>
      </c>
      <c r="D49" s="5">
        <v>0</v>
      </c>
      <c r="E49" s="5">
        <v>0</v>
      </c>
      <c r="F49" s="5">
        <v>0</v>
      </c>
      <c r="G49" s="6">
        <f t="shared" si="0"/>
        <v>2</v>
      </c>
      <c r="H49" s="92"/>
      <c r="I49" s="8"/>
    </row>
    <row r="50" spans="1:9">
      <c r="A50" s="7">
        <v>46071</v>
      </c>
      <c r="B50" s="5" t="s">
        <v>100</v>
      </c>
      <c r="C50" s="5">
        <v>4</v>
      </c>
      <c r="D50" s="5">
        <v>2</v>
      </c>
      <c r="E50" s="5">
        <v>0</v>
      </c>
      <c r="F50" s="5">
        <v>0</v>
      </c>
      <c r="G50" s="6">
        <f t="shared" si="0"/>
        <v>2</v>
      </c>
      <c r="H50" s="92"/>
      <c r="I50" s="8"/>
    </row>
    <row r="51" spans="1:9">
      <c r="A51" s="7">
        <v>46072</v>
      </c>
      <c r="B51" s="5" t="s">
        <v>100</v>
      </c>
      <c r="C51" s="5">
        <v>3</v>
      </c>
      <c r="D51" s="5">
        <v>1</v>
      </c>
      <c r="E51" s="5">
        <v>0</v>
      </c>
      <c r="F51" s="5">
        <v>0</v>
      </c>
      <c r="G51" s="6">
        <f t="shared" si="0"/>
        <v>2</v>
      </c>
      <c r="H51" s="92"/>
      <c r="I51" s="8"/>
    </row>
    <row r="52" spans="1:9">
      <c r="A52" s="7">
        <v>46073</v>
      </c>
      <c r="B52" s="5" t="s">
        <v>100</v>
      </c>
      <c r="C52" s="5">
        <v>4</v>
      </c>
      <c r="D52" s="5">
        <v>1</v>
      </c>
      <c r="E52" s="5">
        <v>0</v>
      </c>
      <c r="F52" s="5">
        <v>0</v>
      </c>
      <c r="G52" s="6">
        <f t="shared" si="0"/>
        <v>3</v>
      </c>
      <c r="H52" s="92"/>
      <c r="I52" s="8"/>
    </row>
    <row r="53" spans="1:9">
      <c r="A53" s="7">
        <v>46074</v>
      </c>
      <c r="B53" s="5" t="s">
        <v>100</v>
      </c>
      <c r="C53" s="5">
        <v>4</v>
      </c>
      <c r="D53" s="5">
        <v>0</v>
      </c>
      <c r="E53" s="5">
        <v>0</v>
      </c>
      <c r="F53" s="5">
        <v>0</v>
      </c>
      <c r="G53" s="6">
        <f t="shared" si="0"/>
        <v>4</v>
      </c>
      <c r="H53" s="92"/>
      <c r="I53" s="8"/>
    </row>
    <row r="54" spans="1:9">
      <c r="A54" s="7">
        <v>46075</v>
      </c>
      <c r="B54" s="5" t="s">
        <v>100</v>
      </c>
      <c r="C54" s="5">
        <v>63</v>
      </c>
      <c r="D54" s="5">
        <v>1</v>
      </c>
      <c r="E54" s="5">
        <v>0</v>
      </c>
      <c r="F54" s="5">
        <v>0</v>
      </c>
      <c r="G54" s="6">
        <f t="shared" si="0"/>
        <v>62</v>
      </c>
      <c r="H54" s="93"/>
      <c r="I54" s="8"/>
    </row>
    <row r="55" spans="1:9">
      <c r="A55" s="7">
        <v>46076</v>
      </c>
      <c r="B55" s="5" t="s">
        <v>100</v>
      </c>
      <c r="C55" s="5">
        <v>227</v>
      </c>
      <c r="D55" s="5">
        <v>9</v>
      </c>
      <c r="E55" s="5">
        <v>0</v>
      </c>
      <c r="F55" s="5">
        <v>0</v>
      </c>
      <c r="G55" s="6">
        <f t="shared" si="0"/>
        <v>218</v>
      </c>
      <c r="H55" s="91">
        <f>SUM(G55:G61)</f>
        <v>959</v>
      </c>
      <c r="I55" s="8"/>
    </row>
    <row r="56" spans="1:9">
      <c r="A56" s="7">
        <v>46077</v>
      </c>
      <c r="B56" s="5" t="s">
        <v>100</v>
      </c>
      <c r="C56" s="5">
        <v>263</v>
      </c>
      <c r="D56" s="5">
        <v>10</v>
      </c>
      <c r="E56" s="5">
        <v>0</v>
      </c>
      <c r="F56" s="5">
        <v>0</v>
      </c>
      <c r="G56" s="6">
        <f t="shared" si="0"/>
        <v>253</v>
      </c>
      <c r="H56" s="92"/>
      <c r="I56" s="8"/>
    </row>
    <row r="57" spans="1:9">
      <c r="A57" s="7">
        <v>46078</v>
      </c>
      <c r="B57" s="5" t="s">
        <v>100</v>
      </c>
      <c r="C57" s="5">
        <v>173</v>
      </c>
      <c r="D57" s="5">
        <v>10</v>
      </c>
      <c r="E57" s="5">
        <v>0</v>
      </c>
      <c r="F57" s="5">
        <v>0</v>
      </c>
      <c r="G57" s="6">
        <f t="shared" si="0"/>
        <v>163</v>
      </c>
      <c r="H57" s="92"/>
      <c r="I57" s="8"/>
    </row>
    <row r="58" spans="1:9">
      <c r="A58" s="7">
        <v>46079</v>
      </c>
      <c r="B58" s="5" t="s">
        <v>100</v>
      </c>
      <c r="C58" s="5">
        <v>96</v>
      </c>
      <c r="D58" s="5">
        <v>9</v>
      </c>
      <c r="E58" s="5">
        <v>0</v>
      </c>
      <c r="F58" s="5">
        <v>0</v>
      </c>
      <c r="G58" s="6">
        <f t="shared" si="0"/>
        <v>87</v>
      </c>
      <c r="H58" s="92"/>
      <c r="I58" s="8"/>
    </row>
    <row r="59" spans="1:9">
      <c r="A59" s="7">
        <v>46080</v>
      </c>
      <c r="B59" s="5" t="s">
        <v>100</v>
      </c>
      <c r="C59" s="5">
        <v>85</v>
      </c>
      <c r="D59" s="5">
        <v>5</v>
      </c>
      <c r="E59" s="5">
        <v>0</v>
      </c>
      <c r="F59" s="5">
        <v>0</v>
      </c>
      <c r="G59" s="6">
        <f t="shared" si="0"/>
        <v>80</v>
      </c>
      <c r="H59" s="92"/>
      <c r="I59" s="8"/>
    </row>
    <row r="60" spans="1:9">
      <c r="A60" s="7">
        <v>46081</v>
      </c>
      <c r="B60" s="5" t="s">
        <v>100</v>
      </c>
      <c r="C60" s="5">
        <v>96</v>
      </c>
      <c r="D60" s="5">
        <v>7</v>
      </c>
      <c r="E60" s="5">
        <v>0</v>
      </c>
      <c r="F60" s="5">
        <v>0</v>
      </c>
      <c r="G60" s="6">
        <f t="shared" si="0"/>
        <v>89</v>
      </c>
      <c r="H60" s="92"/>
      <c r="I60" s="8"/>
    </row>
    <row r="61" spans="1:9">
      <c r="A61" s="7">
        <v>46082</v>
      </c>
      <c r="B61" s="5" t="s">
        <v>100</v>
      </c>
      <c r="C61" s="5">
        <v>73</v>
      </c>
      <c r="D61" s="5">
        <v>4</v>
      </c>
      <c r="E61" s="5">
        <v>0</v>
      </c>
      <c r="F61" s="5">
        <v>0</v>
      </c>
      <c r="G61" s="6">
        <f t="shared" si="0"/>
        <v>69</v>
      </c>
      <c r="H61" s="93"/>
      <c r="I61" s="8"/>
    </row>
    <row r="62" spans="1:9">
      <c r="A62" s="7">
        <v>46083</v>
      </c>
      <c r="B62" s="5" t="s">
        <v>100</v>
      </c>
      <c r="C62" s="5">
        <v>16</v>
      </c>
      <c r="D62" s="5">
        <v>3</v>
      </c>
      <c r="E62" s="5">
        <v>0</v>
      </c>
      <c r="F62" s="5">
        <v>0</v>
      </c>
      <c r="G62" s="6">
        <v>13</v>
      </c>
      <c r="H62" s="91">
        <f>SUM(G62:G68)</f>
        <v>37</v>
      </c>
      <c r="I62" s="8"/>
    </row>
    <row r="63" spans="1:9">
      <c r="A63" s="7">
        <v>46084</v>
      </c>
      <c r="B63" s="5" t="s">
        <v>100</v>
      </c>
      <c r="C63" s="5">
        <v>8</v>
      </c>
      <c r="D63" s="5">
        <v>3</v>
      </c>
      <c r="E63" s="5">
        <v>0</v>
      </c>
      <c r="F63" s="5">
        <v>0</v>
      </c>
      <c r="G63" s="6">
        <v>5</v>
      </c>
      <c r="H63" s="92"/>
      <c r="I63" s="8"/>
    </row>
    <row r="64" spans="1:9">
      <c r="A64" s="7">
        <v>46085</v>
      </c>
      <c r="B64" s="5" t="s">
        <v>100</v>
      </c>
      <c r="C64" s="5">
        <v>8</v>
      </c>
      <c r="D64" s="5">
        <v>4</v>
      </c>
      <c r="E64" s="5">
        <v>1</v>
      </c>
      <c r="F64" s="5">
        <v>0</v>
      </c>
      <c r="G64" s="6">
        <v>4</v>
      </c>
      <c r="H64" s="92"/>
      <c r="I64" s="8"/>
    </row>
    <row r="65" spans="1:12">
      <c r="A65" s="7">
        <v>46086</v>
      </c>
      <c r="B65" s="5" t="s">
        <v>100</v>
      </c>
      <c r="C65" s="5">
        <v>8</v>
      </c>
      <c r="D65" s="5">
        <v>3</v>
      </c>
      <c r="E65" s="5">
        <v>0</v>
      </c>
      <c r="F65" s="5">
        <v>0</v>
      </c>
      <c r="G65" s="6">
        <v>5</v>
      </c>
      <c r="H65" s="92"/>
      <c r="I65" s="8"/>
    </row>
    <row r="66" spans="1:12">
      <c r="A66" s="7">
        <v>46087</v>
      </c>
      <c r="B66" s="5" t="s">
        <v>100</v>
      </c>
      <c r="C66" s="5">
        <v>3</v>
      </c>
      <c r="D66" s="5">
        <v>2</v>
      </c>
      <c r="E66" s="5">
        <v>0</v>
      </c>
      <c r="F66" s="5">
        <v>0</v>
      </c>
      <c r="G66" s="6">
        <v>1</v>
      </c>
      <c r="H66" s="92"/>
      <c r="I66" s="8"/>
    </row>
    <row r="67" spans="1:12">
      <c r="A67" s="7">
        <v>46088</v>
      </c>
      <c r="B67" s="5" t="s">
        <v>100</v>
      </c>
      <c r="C67" s="5">
        <v>8</v>
      </c>
      <c r="D67" s="5">
        <v>2</v>
      </c>
      <c r="E67" s="5">
        <v>0</v>
      </c>
      <c r="F67" s="5">
        <v>0</v>
      </c>
      <c r="G67" s="6">
        <v>6</v>
      </c>
      <c r="H67" s="92"/>
      <c r="I67" s="8"/>
    </row>
    <row r="68" spans="1:12">
      <c r="A68" s="7">
        <v>46089</v>
      </c>
      <c r="B68" s="5" t="s">
        <v>100</v>
      </c>
      <c r="C68" s="5">
        <v>3</v>
      </c>
      <c r="D68" s="5">
        <v>0</v>
      </c>
      <c r="E68" s="5">
        <v>0</v>
      </c>
      <c r="F68" s="5">
        <v>0</v>
      </c>
      <c r="G68" s="6">
        <v>3</v>
      </c>
      <c r="H68" s="93"/>
      <c r="I68" s="8"/>
    </row>
    <row r="69" spans="1:12">
      <c r="A69" s="7">
        <v>46090</v>
      </c>
      <c r="B69" s="5" t="s">
        <v>100</v>
      </c>
      <c r="C69" s="5">
        <v>8</v>
      </c>
      <c r="D69" s="5">
        <v>1</v>
      </c>
      <c r="E69" s="5">
        <v>0</v>
      </c>
      <c r="F69" s="5">
        <v>0</v>
      </c>
      <c r="G69" s="6">
        <v>7</v>
      </c>
      <c r="H69" s="91">
        <f>SUM(G69:G75)</f>
        <v>24</v>
      </c>
      <c r="I69" s="8"/>
      <c r="L69" s="2"/>
    </row>
    <row r="70" spans="1:12">
      <c r="A70" s="7">
        <v>46091</v>
      </c>
      <c r="B70" s="5" t="s">
        <v>100</v>
      </c>
      <c r="C70" s="5">
        <v>6</v>
      </c>
      <c r="D70" s="5">
        <v>1</v>
      </c>
      <c r="E70" s="5">
        <v>0</v>
      </c>
      <c r="F70" s="5">
        <v>0</v>
      </c>
      <c r="G70" s="6">
        <v>5</v>
      </c>
      <c r="H70" s="92"/>
      <c r="I70" s="8"/>
    </row>
    <row r="71" spans="1:12">
      <c r="A71" s="7">
        <v>46092</v>
      </c>
      <c r="B71" s="5" t="s">
        <v>100</v>
      </c>
      <c r="C71" s="5">
        <v>5</v>
      </c>
      <c r="D71" s="5">
        <v>0</v>
      </c>
      <c r="E71" s="5">
        <v>0</v>
      </c>
      <c r="F71" s="5">
        <v>0</v>
      </c>
      <c r="G71" s="6">
        <v>5</v>
      </c>
      <c r="H71" s="92"/>
      <c r="I71" s="8"/>
    </row>
    <row r="72" spans="1:12">
      <c r="A72" s="7">
        <v>46093</v>
      </c>
      <c r="B72" s="5" t="s">
        <v>100</v>
      </c>
      <c r="C72" s="5">
        <v>3</v>
      </c>
      <c r="D72" s="5">
        <v>1</v>
      </c>
      <c r="E72" s="5">
        <v>0</v>
      </c>
      <c r="F72" s="5">
        <v>0</v>
      </c>
      <c r="G72" s="6">
        <v>2</v>
      </c>
      <c r="H72" s="92"/>
      <c r="I72" s="8"/>
    </row>
    <row r="73" spans="1:12">
      <c r="A73" s="7">
        <v>46094</v>
      </c>
      <c r="B73" s="5" t="s">
        <v>100</v>
      </c>
      <c r="C73" s="5">
        <v>3</v>
      </c>
      <c r="D73" s="5">
        <v>1</v>
      </c>
      <c r="E73" s="5">
        <v>0</v>
      </c>
      <c r="F73" s="5">
        <v>0</v>
      </c>
      <c r="G73" s="6">
        <v>2</v>
      </c>
      <c r="H73" s="92"/>
      <c r="I73" s="8"/>
    </row>
    <row r="74" spans="1:12">
      <c r="A74" s="7">
        <v>46095</v>
      </c>
      <c r="B74" s="5" t="s">
        <v>100</v>
      </c>
      <c r="C74" s="5">
        <v>3</v>
      </c>
      <c r="D74" s="5">
        <v>1</v>
      </c>
      <c r="E74" s="5">
        <v>0</v>
      </c>
      <c r="F74" s="5">
        <v>0</v>
      </c>
      <c r="G74" s="6">
        <v>2</v>
      </c>
      <c r="H74" s="92"/>
      <c r="I74" s="8"/>
    </row>
    <row r="75" spans="1:12">
      <c r="A75" s="7">
        <v>46096</v>
      </c>
      <c r="B75" s="5" t="s">
        <v>100</v>
      </c>
      <c r="C75" s="5">
        <v>2</v>
      </c>
      <c r="D75" s="5">
        <v>1</v>
      </c>
      <c r="E75" s="5">
        <v>0</v>
      </c>
      <c r="F75" s="5">
        <v>0</v>
      </c>
      <c r="G75" s="6">
        <v>1</v>
      </c>
      <c r="H75" s="93"/>
      <c r="I75" s="8"/>
    </row>
    <row r="76" spans="1:12">
      <c r="A76" s="7">
        <v>46097</v>
      </c>
      <c r="B76" s="5" t="s">
        <v>100</v>
      </c>
      <c r="C76" s="5">
        <v>1</v>
      </c>
      <c r="D76" s="5">
        <v>2</v>
      </c>
      <c r="E76" s="5">
        <v>0</v>
      </c>
      <c r="F76" s="5">
        <v>0</v>
      </c>
      <c r="G76" s="6">
        <v>-1</v>
      </c>
      <c r="H76" s="91">
        <f>SUM(G76:G82)</f>
        <v>11</v>
      </c>
      <c r="I76" s="8"/>
    </row>
    <row r="77" spans="1:12">
      <c r="A77" s="7">
        <v>46098</v>
      </c>
      <c r="B77" s="5" t="s">
        <v>100</v>
      </c>
      <c r="C77" s="5">
        <v>1</v>
      </c>
      <c r="D77" s="5">
        <v>1</v>
      </c>
      <c r="E77" s="5">
        <v>0</v>
      </c>
      <c r="F77" s="5">
        <v>0</v>
      </c>
      <c r="G77" s="6">
        <v>0</v>
      </c>
      <c r="H77" s="92"/>
      <c r="I77" s="8"/>
    </row>
    <row r="78" spans="1:12">
      <c r="A78" s="7">
        <v>46099</v>
      </c>
      <c r="B78" s="5" t="s">
        <v>100</v>
      </c>
      <c r="C78" s="5">
        <v>1</v>
      </c>
      <c r="D78" s="5">
        <v>0</v>
      </c>
      <c r="E78" s="5">
        <v>0</v>
      </c>
      <c r="F78" s="5">
        <v>0</v>
      </c>
      <c r="G78" s="6">
        <v>1</v>
      </c>
      <c r="H78" s="92"/>
      <c r="I78" s="8"/>
    </row>
    <row r="79" spans="1:12">
      <c r="A79" s="7">
        <v>46100</v>
      </c>
      <c r="B79" s="5" t="s">
        <v>100</v>
      </c>
      <c r="C79" s="5">
        <v>5</v>
      </c>
      <c r="D79" s="5">
        <v>1</v>
      </c>
      <c r="E79" s="5">
        <v>0</v>
      </c>
      <c r="F79" s="5">
        <v>0</v>
      </c>
      <c r="G79" s="6">
        <v>4</v>
      </c>
      <c r="H79" s="92"/>
      <c r="I79" s="8"/>
    </row>
    <row r="80" spans="1:12">
      <c r="A80" s="7">
        <v>46101</v>
      </c>
      <c r="B80" s="5" t="s">
        <v>100</v>
      </c>
      <c r="C80" s="5">
        <v>4</v>
      </c>
      <c r="D80" s="5">
        <v>1</v>
      </c>
      <c r="E80" s="5">
        <v>0</v>
      </c>
      <c r="F80" s="5">
        <v>0</v>
      </c>
      <c r="G80" s="6">
        <v>3</v>
      </c>
      <c r="H80" s="92"/>
      <c r="I80" s="8"/>
    </row>
    <row r="81" spans="1:12">
      <c r="A81" s="7">
        <v>46102</v>
      </c>
      <c r="B81" s="5" t="s">
        <v>100</v>
      </c>
      <c r="C81" s="5">
        <v>3</v>
      </c>
      <c r="D81" s="5">
        <v>1</v>
      </c>
      <c r="E81" s="5">
        <v>0</v>
      </c>
      <c r="F81" s="5">
        <v>0</v>
      </c>
      <c r="G81" s="6">
        <v>2</v>
      </c>
      <c r="H81" s="92"/>
      <c r="I81" s="8"/>
    </row>
    <row r="82" spans="1:12">
      <c r="A82" s="7">
        <v>46103</v>
      </c>
      <c r="B82" s="5" t="s">
        <v>100</v>
      </c>
      <c r="C82" s="5">
        <v>2</v>
      </c>
      <c r="D82" s="5">
        <v>0</v>
      </c>
      <c r="E82" s="5">
        <v>0</v>
      </c>
      <c r="F82" s="5">
        <v>0</v>
      </c>
      <c r="G82" s="6">
        <v>2</v>
      </c>
      <c r="H82" s="93"/>
      <c r="I82" s="8"/>
    </row>
    <row r="83" spans="1:12">
      <c r="A83" s="7">
        <v>46104</v>
      </c>
      <c r="B83" s="5" t="s">
        <v>100</v>
      </c>
      <c r="C83" s="5">
        <v>6</v>
      </c>
      <c r="D83" s="5">
        <v>7</v>
      </c>
      <c r="E83" s="5">
        <v>0</v>
      </c>
      <c r="F83" s="5">
        <v>0</v>
      </c>
      <c r="G83" s="6">
        <v>-1</v>
      </c>
      <c r="H83" s="91">
        <f>SUM(G83:G89)</f>
        <v>17</v>
      </c>
      <c r="I83" s="8"/>
    </row>
    <row r="84" spans="1:12">
      <c r="A84" s="7">
        <v>46105</v>
      </c>
      <c r="B84" s="5" t="s">
        <v>100</v>
      </c>
      <c r="C84" s="5">
        <v>5</v>
      </c>
      <c r="D84" s="5">
        <v>0</v>
      </c>
      <c r="E84" s="5">
        <v>0</v>
      </c>
      <c r="F84" s="5">
        <v>0</v>
      </c>
      <c r="G84" s="6">
        <v>5</v>
      </c>
      <c r="H84" s="92"/>
      <c r="I84" s="8"/>
    </row>
    <row r="85" spans="1:12">
      <c r="A85" s="7">
        <v>46106</v>
      </c>
      <c r="B85" s="5" t="s">
        <v>100</v>
      </c>
      <c r="C85" s="5">
        <v>3</v>
      </c>
      <c r="D85" s="5">
        <v>0</v>
      </c>
      <c r="E85" s="5">
        <v>0</v>
      </c>
      <c r="F85" s="5">
        <v>0</v>
      </c>
      <c r="G85" s="6">
        <v>3</v>
      </c>
      <c r="H85" s="92"/>
      <c r="I85" s="8"/>
    </row>
    <row r="86" spans="1:12">
      <c r="A86" s="7">
        <v>46107</v>
      </c>
      <c r="B86" s="5" t="s">
        <v>100</v>
      </c>
      <c r="C86" s="5">
        <v>1</v>
      </c>
      <c r="D86" s="5">
        <v>1</v>
      </c>
      <c r="E86" s="5">
        <v>0</v>
      </c>
      <c r="F86" s="5">
        <v>0</v>
      </c>
      <c r="G86" s="6">
        <v>0</v>
      </c>
      <c r="H86" s="92"/>
      <c r="I86" s="8"/>
    </row>
    <row r="87" spans="1:12">
      <c r="A87" s="7">
        <v>46108</v>
      </c>
      <c r="B87" s="5" t="s">
        <v>100</v>
      </c>
      <c r="C87" s="5">
        <v>0</v>
      </c>
      <c r="D87" s="5">
        <v>0</v>
      </c>
      <c r="E87" s="5">
        <v>0</v>
      </c>
      <c r="F87" s="5">
        <v>0</v>
      </c>
      <c r="G87" s="6">
        <v>4</v>
      </c>
      <c r="H87" s="92"/>
      <c r="I87" s="8"/>
    </row>
    <row r="88" spans="1:12">
      <c r="A88" s="7">
        <v>46109</v>
      </c>
      <c r="B88" s="5" t="s">
        <v>100</v>
      </c>
      <c r="C88" s="5">
        <v>4</v>
      </c>
      <c r="D88" s="5">
        <v>0</v>
      </c>
      <c r="E88" s="5">
        <v>0</v>
      </c>
      <c r="F88" s="5">
        <v>0</v>
      </c>
      <c r="G88" s="6">
        <v>3</v>
      </c>
      <c r="H88" s="92"/>
      <c r="I88" s="8"/>
    </row>
    <row r="89" spans="1:12">
      <c r="A89" s="7">
        <v>46110</v>
      </c>
      <c r="B89" s="5" t="s">
        <v>100</v>
      </c>
      <c r="C89" s="5">
        <v>3</v>
      </c>
      <c r="D89" s="5">
        <v>0</v>
      </c>
      <c r="E89" s="5">
        <v>0</v>
      </c>
      <c r="F89" s="5">
        <v>0</v>
      </c>
      <c r="G89" s="6">
        <v>3</v>
      </c>
      <c r="H89" s="93"/>
      <c r="I89" s="8"/>
    </row>
    <row r="90" spans="1:12">
      <c r="A90" s="7">
        <v>46111</v>
      </c>
      <c r="B90" s="5" t="s">
        <v>100</v>
      </c>
      <c r="C90" s="5">
        <v>3</v>
      </c>
      <c r="D90" s="5">
        <v>0</v>
      </c>
      <c r="E90" s="5">
        <v>0</v>
      </c>
      <c r="F90" s="5">
        <v>0</v>
      </c>
      <c r="G90" s="6">
        <v>-1</v>
      </c>
      <c r="H90" s="91">
        <f>SUM(G90:G96)</f>
        <v>41</v>
      </c>
      <c r="I90" s="8"/>
      <c r="L90" s="69"/>
    </row>
    <row r="91" spans="1:12">
      <c r="A91" s="7">
        <v>46112</v>
      </c>
      <c r="B91" s="5" t="s">
        <v>100</v>
      </c>
      <c r="C91" s="5">
        <v>1</v>
      </c>
      <c r="D91" s="5">
        <v>2</v>
      </c>
      <c r="E91" s="5">
        <v>0</v>
      </c>
      <c r="F91" s="5">
        <v>0</v>
      </c>
      <c r="G91" s="6">
        <v>3</v>
      </c>
      <c r="H91" s="92"/>
      <c r="I91" s="8"/>
      <c r="L91" s="69"/>
    </row>
    <row r="92" spans="1:12">
      <c r="A92" s="7">
        <v>46113</v>
      </c>
      <c r="B92" s="5" t="s">
        <v>100</v>
      </c>
      <c r="C92" s="5">
        <v>4</v>
      </c>
      <c r="D92" s="5">
        <v>1</v>
      </c>
      <c r="E92" s="5">
        <v>0</v>
      </c>
      <c r="F92" s="5">
        <v>0</v>
      </c>
      <c r="G92" s="6">
        <v>12</v>
      </c>
      <c r="H92" s="92"/>
      <c r="I92" s="8"/>
      <c r="L92" s="69"/>
    </row>
    <row r="93" spans="1:12">
      <c r="A93" s="7">
        <v>46114</v>
      </c>
      <c r="B93" s="5" t="s">
        <v>100</v>
      </c>
      <c r="C93" s="5">
        <v>13</v>
      </c>
      <c r="D93" s="5">
        <v>1</v>
      </c>
      <c r="E93" s="5">
        <v>0</v>
      </c>
      <c r="F93" s="5">
        <v>0</v>
      </c>
      <c r="G93" s="6">
        <v>1</v>
      </c>
      <c r="H93" s="92"/>
      <c r="I93" s="8"/>
      <c r="L93" s="69"/>
    </row>
    <row r="94" spans="1:12">
      <c r="A94" s="7">
        <v>46115</v>
      </c>
      <c r="B94" s="5" t="s">
        <v>100</v>
      </c>
      <c r="C94" s="5">
        <v>3</v>
      </c>
      <c r="D94" s="5">
        <v>2</v>
      </c>
      <c r="E94" s="5">
        <v>0</v>
      </c>
      <c r="F94" s="5">
        <v>0</v>
      </c>
      <c r="G94" s="6">
        <v>8</v>
      </c>
      <c r="H94" s="92"/>
      <c r="I94" s="8"/>
      <c r="L94" s="69"/>
    </row>
    <row r="95" spans="1:12">
      <c r="A95" s="7">
        <v>46116</v>
      </c>
      <c r="B95" s="5" t="s">
        <v>100</v>
      </c>
      <c r="C95" s="5">
        <v>10</v>
      </c>
      <c r="D95" s="5">
        <v>2</v>
      </c>
      <c r="E95" s="5">
        <v>0</v>
      </c>
      <c r="F95" s="5">
        <v>0</v>
      </c>
      <c r="G95" s="6">
        <v>4</v>
      </c>
      <c r="H95" s="92"/>
      <c r="I95" s="8"/>
      <c r="L95" s="69"/>
    </row>
    <row r="96" spans="1:12">
      <c r="A96" s="7">
        <v>46117</v>
      </c>
      <c r="B96" s="5" t="s">
        <v>100</v>
      </c>
      <c r="C96" s="5">
        <v>6</v>
      </c>
      <c r="D96" s="5">
        <v>2</v>
      </c>
      <c r="E96" s="5">
        <v>0</v>
      </c>
      <c r="F96" s="5">
        <v>0</v>
      </c>
      <c r="G96" s="6">
        <v>14</v>
      </c>
      <c r="H96" s="93"/>
      <c r="I96" s="8"/>
      <c r="L96" s="69"/>
    </row>
    <row r="97" spans="1:9">
      <c r="A97" s="7">
        <v>46118</v>
      </c>
      <c r="B97" s="5" t="s">
        <v>100</v>
      </c>
      <c r="C97" s="5">
        <v>15</v>
      </c>
      <c r="D97" s="5">
        <v>1</v>
      </c>
      <c r="E97" s="5">
        <v>0</v>
      </c>
      <c r="F97" s="5">
        <v>0</v>
      </c>
      <c r="G97" s="6">
        <v>17</v>
      </c>
      <c r="H97" s="91">
        <f>SUM(G97:G103)</f>
        <v>35</v>
      </c>
      <c r="I97" s="8"/>
    </row>
    <row r="98" spans="1:9">
      <c r="A98" s="7">
        <v>46119</v>
      </c>
      <c r="B98" s="5" t="s">
        <v>100</v>
      </c>
      <c r="C98" s="5">
        <v>17</v>
      </c>
      <c r="D98" s="5">
        <v>0</v>
      </c>
      <c r="E98" s="5">
        <v>0</v>
      </c>
      <c r="F98" s="5">
        <v>0</v>
      </c>
      <c r="G98" s="6">
        <v>1</v>
      </c>
      <c r="H98" s="92"/>
      <c r="I98" s="8"/>
    </row>
    <row r="99" spans="1:9">
      <c r="A99" s="7">
        <v>46120</v>
      </c>
      <c r="B99" s="5" t="s">
        <v>100</v>
      </c>
      <c r="C99" s="5">
        <v>2</v>
      </c>
      <c r="D99" s="5">
        <v>1</v>
      </c>
      <c r="E99" s="5">
        <v>0</v>
      </c>
      <c r="F99" s="5">
        <v>0</v>
      </c>
      <c r="G99" s="6">
        <v>9</v>
      </c>
      <c r="H99" s="92"/>
      <c r="I99" s="8"/>
    </row>
    <row r="100" spans="1:9">
      <c r="A100" s="7">
        <v>46121</v>
      </c>
      <c r="B100" s="5" t="s">
        <v>100</v>
      </c>
      <c r="C100" s="5">
        <v>9</v>
      </c>
      <c r="D100" s="5">
        <v>0</v>
      </c>
      <c r="E100" s="5">
        <v>0</v>
      </c>
      <c r="F100" s="5">
        <v>0</v>
      </c>
      <c r="G100" s="6">
        <v>1</v>
      </c>
      <c r="H100" s="92"/>
      <c r="I100" s="8"/>
    </row>
    <row r="101" spans="1:9">
      <c r="A101" s="7">
        <v>46122</v>
      </c>
      <c r="B101" s="5" t="s">
        <v>100</v>
      </c>
      <c r="C101" s="5">
        <v>2</v>
      </c>
      <c r="D101" s="5">
        <v>1</v>
      </c>
      <c r="E101" s="5">
        <v>0</v>
      </c>
      <c r="F101" s="5">
        <v>0</v>
      </c>
      <c r="G101" s="6">
        <v>3</v>
      </c>
      <c r="H101" s="92"/>
      <c r="I101" s="8"/>
    </row>
    <row r="102" spans="1:9">
      <c r="A102" s="7">
        <v>46123</v>
      </c>
      <c r="B102" s="5" t="s">
        <v>100</v>
      </c>
      <c r="C102" s="5">
        <v>3</v>
      </c>
      <c r="D102" s="5">
        <v>0</v>
      </c>
      <c r="E102" s="5">
        <v>0</v>
      </c>
      <c r="F102" s="5">
        <v>0</v>
      </c>
      <c r="G102" s="6">
        <v>2</v>
      </c>
      <c r="H102" s="92"/>
      <c r="I102" s="8"/>
    </row>
    <row r="103" spans="1:9">
      <c r="A103" s="7">
        <v>46124</v>
      </c>
      <c r="B103" s="5" t="s">
        <v>100</v>
      </c>
      <c r="C103" s="5">
        <v>3</v>
      </c>
      <c r="D103" s="5">
        <v>1</v>
      </c>
      <c r="E103" s="5">
        <v>0</v>
      </c>
      <c r="F103" s="5">
        <v>0</v>
      </c>
      <c r="G103" s="6">
        <f t="shared" ref="G103:G130" si="1">SUM(C103,E103,F103-D103)</f>
        <v>2</v>
      </c>
      <c r="H103" s="93"/>
      <c r="I103" s="8"/>
    </row>
    <row r="104" spans="1:9">
      <c r="A104" s="7">
        <v>46125</v>
      </c>
      <c r="B104" s="5" t="s">
        <v>100</v>
      </c>
      <c r="C104" s="9">
        <v>3</v>
      </c>
      <c r="D104" s="9">
        <v>0</v>
      </c>
      <c r="E104" s="9">
        <v>0</v>
      </c>
      <c r="F104" s="9">
        <v>0</v>
      </c>
      <c r="G104" s="6">
        <f t="shared" si="1"/>
        <v>3</v>
      </c>
      <c r="H104" s="91">
        <f>SUM(G104:G110)</f>
        <v>28</v>
      </c>
      <c r="I104" s="8"/>
    </row>
    <row r="105" spans="1:9">
      <c r="A105" s="7">
        <v>46126</v>
      </c>
      <c r="B105" s="5" t="s">
        <v>100</v>
      </c>
      <c r="C105" s="9">
        <v>5</v>
      </c>
      <c r="D105" s="9">
        <v>0</v>
      </c>
      <c r="E105" s="9">
        <v>0</v>
      </c>
      <c r="F105" s="9">
        <v>0</v>
      </c>
      <c r="G105" s="6">
        <f t="shared" si="1"/>
        <v>5</v>
      </c>
      <c r="H105" s="92"/>
      <c r="I105" s="8"/>
    </row>
    <row r="106" spans="1:9">
      <c r="A106" s="7">
        <v>46127</v>
      </c>
      <c r="B106" s="5" t="s">
        <v>100</v>
      </c>
      <c r="C106" s="9">
        <v>11</v>
      </c>
      <c r="D106" s="9">
        <v>2</v>
      </c>
      <c r="E106" s="9">
        <v>0</v>
      </c>
      <c r="F106" s="9">
        <v>0</v>
      </c>
      <c r="G106" s="6">
        <f t="shared" si="1"/>
        <v>9</v>
      </c>
      <c r="H106" s="92"/>
      <c r="I106" s="8"/>
    </row>
    <row r="107" spans="1:9">
      <c r="A107" s="7">
        <v>46128</v>
      </c>
      <c r="B107" s="5" t="s">
        <v>100</v>
      </c>
      <c r="C107" s="9">
        <v>3</v>
      </c>
      <c r="D107" s="9">
        <v>0</v>
      </c>
      <c r="E107" s="9">
        <v>0</v>
      </c>
      <c r="F107" s="9">
        <v>0</v>
      </c>
      <c r="G107" s="6">
        <f t="shared" si="1"/>
        <v>3</v>
      </c>
      <c r="H107" s="92"/>
      <c r="I107" s="8"/>
    </row>
    <row r="108" spans="1:9">
      <c r="A108" s="7">
        <v>46129</v>
      </c>
      <c r="B108" s="5" t="s">
        <v>100</v>
      </c>
      <c r="C108" s="9">
        <v>5</v>
      </c>
      <c r="D108" s="9">
        <v>1</v>
      </c>
      <c r="E108" s="9">
        <v>0</v>
      </c>
      <c r="F108" s="9">
        <v>0</v>
      </c>
      <c r="G108" s="6">
        <f t="shared" si="1"/>
        <v>4</v>
      </c>
      <c r="H108" s="92"/>
      <c r="I108" s="8"/>
    </row>
    <row r="109" spans="1:9">
      <c r="A109" s="7">
        <v>46130</v>
      </c>
      <c r="B109" s="5" t="s">
        <v>100</v>
      </c>
      <c r="C109" s="9">
        <v>1</v>
      </c>
      <c r="D109" s="9">
        <v>0</v>
      </c>
      <c r="E109" s="9">
        <v>0</v>
      </c>
      <c r="F109" s="9">
        <v>0</v>
      </c>
      <c r="G109" s="6">
        <f t="shared" si="1"/>
        <v>1</v>
      </c>
      <c r="H109" s="92"/>
      <c r="I109" s="8"/>
    </row>
    <row r="110" spans="1:9">
      <c r="A110" s="7">
        <v>46131</v>
      </c>
      <c r="B110" s="5" t="s">
        <v>100</v>
      </c>
      <c r="C110" s="5">
        <v>3</v>
      </c>
      <c r="D110" s="5">
        <v>0</v>
      </c>
      <c r="E110" s="5">
        <v>0</v>
      </c>
      <c r="F110" s="5">
        <v>0</v>
      </c>
      <c r="G110" s="6">
        <f t="shared" si="1"/>
        <v>3</v>
      </c>
      <c r="H110" s="93"/>
      <c r="I110" s="8"/>
    </row>
    <row r="111" spans="1:9">
      <c r="A111" s="7">
        <v>46132</v>
      </c>
      <c r="B111" s="5" t="s">
        <v>100</v>
      </c>
      <c r="C111" s="5">
        <v>0</v>
      </c>
      <c r="D111" s="5">
        <v>1</v>
      </c>
      <c r="E111" s="5">
        <v>0</v>
      </c>
      <c r="F111" s="5">
        <v>0</v>
      </c>
      <c r="G111" s="6">
        <f t="shared" si="1"/>
        <v>-1</v>
      </c>
      <c r="H111" s="91">
        <f>SUM(G111:G117)</f>
        <v>26</v>
      </c>
      <c r="I111" s="8"/>
    </row>
    <row r="112" spans="1:9">
      <c r="A112" s="7">
        <v>46133</v>
      </c>
      <c r="B112" s="5" t="s">
        <v>100</v>
      </c>
      <c r="C112" s="5">
        <v>8</v>
      </c>
      <c r="D112" s="5">
        <v>2</v>
      </c>
      <c r="E112" s="5">
        <v>0</v>
      </c>
      <c r="F112" s="5">
        <v>0</v>
      </c>
      <c r="G112" s="6">
        <f t="shared" si="1"/>
        <v>6</v>
      </c>
      <c r="H112" s="92"/>
      <c r="I112" s="8"/>
    </row>
    <row r="113" spans="1:9">
      <c r="A113" s="7">
        <v>46134</v>
      </c>
      <c r="B113" s="5" t="s">
        <v>100</v>
      </c>
      <c r="C113" s="5">
        <v>8</v>
      </c>
      <c r="D113" s="5">
        <v>0</v>
      </c>
      <c r="E113" s="5">
        <v>0</v>
      </c>
      <c r="F113" s="5">
        <v>0</v>
      </c>
      <c r="G113" s="6">
        <f t="shared" si="1"/>
        <v>8</v>
      </c>
      <c r="H113" s="92"/>
      <c r="I113" s="8"/>
    </row>
    <row r="114" spans="1:9">
      <c r="A114" s="7">
        <v>46135</v>
      </c>
      <c r="B114" s="5" t="s">
        <v>100</v>
      </c>
      <c r="C114" s="5">
        <v>6</v>
      </c>
      <c r="D114" s="5">
        <v>1</v>
      </c>
      <c r="E114" s="5">
        <v>0</v>
      </c>
      <c r="F114" s="5">
        <v>0</v>
      </c>
      <c r="G114" s="6">
        <f t="shared" si="1"/>
        <v>5</v>
      </c>
      <c r="H114" s="92"/>
      <c r="I114" s="8"/>
    </row>
    <row r="115" spans="1:9">
      <c r="A115" s="7">
        <v>46136</v>
      </c>
      <c r="B115" s="5" t="s">
        <v>100</v>
      </c>
      <c r="C115" s="5">
        <v>7</v>
      </c>
      <c r="D115" s="5">
        <v>3</v>
      </c>
      <c r="E115" s="5">
        <v>0</v>
      </c>
      <c r="F115" s="5">
        <v>0</v>
      </c>
      <c r="G115" s="6">
        <f t="shared" si="1"/>
        <v>4</v>
      </c>
      <c r="H115" s="92"/>
      <c r="I115" s="8"/>
    </row>
    <row r="116" spans="1:9">
      <c r="A116" s="7">
        <v>46137</v>
      </c>
      <c r="B116" s="5" t="s">
        <v>100</v>
      </c>
      <c r="C116" s="5">
        <v>3</v>
      </c>
      <c r="D116" s="5">
        <v>1</v>
      </c>
      <c r="E116" s="5">
        <v>0</v>
      </c>
      <c r="F116" s="5">
        <v>0</v>
      </c>
      <c r="G116" s="6">
        <f t="shared" si="1"/>
        <v>2</v>
      </c>
      <c r="H116" s="92"/>
      <c r="I116" s="8"/>
    </row>
    <row r="117" spans="1:9">
      <c r="A117" s="7">
        <v>46138</v>
      </c>
      <c r="B117" s="5" t="s">
        <v>100</v>
      </c>
      <c r="C117" s="85">
        <v>2</v>
      </c>
      <c r="D117" s="85">
        <v>0</v>
      </c>
      <c r="E117" s="85">
        <v>0</v>
      </c>
      <c r="F117" s="85">
        <v>0</v>
      </c>
      <c r="G117" s="6">
        <f t="shared" si="1"/>
        <v>2</v>
      </c>
      <c r="H117" s="93"/>
      <c r="I117" s="8"/>
    </row>
    <row r="118" spans="1:9">
      <c r="A118" s="7">
        <v>46139</v>
      </c>
      <c r="B118" s="83" t="s">
        <v>100</v>
      </c>
      <c r="C118" s="82">
        <v>3</v>
      </c>
      <c r="D118" s="82">
        <v>4</v>
      </c>
      <c r="E118" s="82">
        <v>0</v>
      </c>
      <c r="F118" s="82">
        <v>0</v>
      </c>
      <c r="G118" s="84">
        <f t="shared" si="1"/>
        <v>-1</v>
      </c>
      <c r="H118" s="91">
        <f>SUM(G118:G124)</f>
        <v>14</v>
      </c>
      <c r="I118" s="8"/>
    </row>
    <row r="119" spans="1:9">
      <c r="A119" s="7">
        <v>46140</v>
      </c>
      <c r="B119" s="83" t="s">
        <v>100</v>
      </c>
      <c r="C119" s="82">
        <v>2</v>
      </c>
      <c r="D119" s="82">
        <v>0</v>
      </c>
      <c r="E119" s="82">
        <v>0</v>
      </c>
      <c r="F119" s="82">
        <v>0</v>
      </c>
      <c r="G119" s="84">
        <f t="shared" si="1"/>
        <v>2</v>
      </c>
      <c r="H119" s="92"/>
      <c r="I119" s="8"/>
    </row>
    <row r="120" spans="1:9">
      <c r="A120" s="7">
        <v>46141</v>
      </c>
      <c r="B120" s="83" t="s">
        <v>100</v>
      </c>
      <c r="C120" s="82">
        <v>3</v>
      </c>
      <c r="D120" s="82">
        <v>0</v>
      </c>
      <c r="E120" s="82">
        <v>0</v>
      </c>
      <c r="F120" s="82">
        <v>0</v>
      </c>
      <c r="G120" s="84">
        <f t="shared" si="1"/>
        <v>3</v>
      </c>
      <c r="H120" s="92"/>
      <c r="I120" s="8"/>
    </row>
    <row r="121" spans="1:9">
      <c r="A121" s="7">
        <v>46142</v>
      </c>
      <c r="B121" s="83" t="s">
        <v>100</v>
      </c>
      <c r="C121" s="82">
        <v>3</v>
      </c>
      <c r="D121" s="82">
        <v>2</v>
      </c>
      <c r="E121" s="82">
        <v>0</v>
      </c>
      <c r="F121" s="82">
        <v>0</v>
      </c>
      <c r="G121" s="84">
        <f t="shared" si="1"/>
        <v>1</v>
      </c>
      <c r="H121" s="92"/>
      <c r="I121" s="8"/>
    </row>
    <row r="122" spans="1:9">
      <c r="A122" s="7">
        <v>46143</v>
      </c>
      <c r="B122" s="83" t="s">
        <v>100</v>
      </c>
      <c r="C122" s="82">
        <v>8</v>
      </c>
      <c r="D122" s="82">
        <v>2</v>
      </c>
      <c r="E122" s="82">
        <v>0</v>
      </c>
      <c r="F122" s="82">
        <v>0</v>
      </c>
      <c r="G122" s="84">
        <f t="shared" si="1"/>
        <v>6</v>
      </c>
      <c r="H122" s="92"/>
      <c r="I122" s="8"/>
    </row>
    <row r="123" spans="1:9">
      <c r="A123" s="7">
        <v>46144</v>
      </c>
      <c r="B123" s="83" t="s">
        <v>100</v>
      </c>
      <c r="C123" s="82">
        <v>3</v>
      </c>
      <c r="D123" s="82">
        <v>2</v>
      </c>
      <c r="E123" s="82">
        <v>0</v>
      </c>
      <c r="F123" s="82">
        <v>0</v>
      </c>
      <c r="G123" s="84">
        <f t="shared" si="1"/>
        <v>1</v>
      </c>
      <c r="H123" s="92"/>
      <c r="I123" s="8"/>
    </row>
    <row r="124" spans="1:9">
      <c r="A124" s="7">
        <v>46145</v>
      </c>
      <c r="B124" s="5" t="s">
        <v>100</v>
      </c>
      <c r="C124" s="86">
        <v>2</v>
      </c>
      <c r="D124" s="86">
        <v>0</v>
      </c>
      <c r="E124" s="86">
        <v>0</v>
      </c>
      <c r="F124" s="86">
        <v>0</v>
      </c>
      <c r="G124" s="6">
        <f t="shared" si="1"/>
        <v>2</v>
      </c>
      <c r="H124" s="93"/>
      <c r="I124" s="8"/>
    </row>
    <row r="125" spans="1:9">
      <c r="A125" s="7">
        <v>46146</v>
      </c>
      <c r="B125" s="5" t="s">
        <v>100</v>
      </c>
      <c r="C125" s="5">
        <v>0</v>
      </c>
      <c r="D125" s="5">
        <v>0</v>
      </c>
      <c r="E125" s="5">
        <v>0</v>
      </c>
      <c r="F125" s="5">
        <v>0</v>
      </c>
      <c r="G125" s="6">
        <f t="shared" si="1"/>
        <v>0</v>
      </c>
      <c r="H125" s="91">
        <f>SUM(G125:G131)</f>
        <v>0</v>
      </c>
      <c r="I125" s="8"/>
    </row>
    <row r="126" spans="1:9">
      <c r="A126" s="7">
        <v>46147</v>
      </c>
      <c r="B126" s="5" t="s">
        <v>100</v>
      </c>
      <c r="C126" s="5">
        <v>0</v>
      </c>
      <c r="D126" s="5">
        <v>0</v>
      </c>
      <c r="E126" s="5">
        <v>0</v>
      </c>
      <c r="F126" s="5">
        <v>0</v>
      </c>
      <c r="G126" s="6">
        <f t="shared" si="1"/>
        <v>0</v>
      </c>
      <c r="H126" s="92"/>
      <c r="I126" s="8"/>
    </row>
    <row r="127" spans="1:9">
      <c r="A127" s="7">
        <v>46148</v>
      </c>
      <c r="B127" s="5" t="s">
        <v>100</v>
      </c>
      <c r="C127" s="5">
        <v>0</v>
      </c>
      <c r="D127" s="5">
        <v>0</v>
      </c>
      <c r="E127" s="5">
        <v>0</v>
      </c>
      <c r="F127" s="5">
        <v>0</v>
      </c>
      <c r="G127" s="6">
        <f t="shared" si="1"/>
        <v>0</v>
      </c>
      <c r="H127" s="92"/>
      <c r="I127" s="8"/>
    </row>
    <row r="128" spans="1:9">
      <c r="A128" s="7">
        <v>46149</v>
      </c>
      <c r="B128" s="5" t="s">
        <v>100</v>
      </c>
      <c r="C128" s="5">
        <v>0</v>
      </c>
      <c r="D128" s="5">
        <v>0</v>
      </c>
      <c r="E128" s="5">
        <v>0</v>
      </c>
      <c r="F128" s="5">
        <v>0</v>
      </c>
      <c r="G128" s="6">
        <f t="shared" si="1"/>
        <v>0</v>
      </c>
      <c r="H128" s="92"/>
      <c r="I128" s="8"/>
    </row>
    <row r="129" spans="1:9">
      <c r="A129" s="7">
        <v>46150</v>
      </c>
      <c r="B129" s="5" t="s">
        <v>100</v>
      </c>
      <c r="C129" s="5">
        <v>0</v>
      </c>
      <c r="D129" s="5">
        <v>0</v>
      </c>
      <c r="E129" s="5">
        <v>0</v>
      </c>
      <c r="F129" s="5">
        <v>0</v>
      </c>
      <c r="G129" s="6">
        <f t="shared" si="1"/>
        <v>0</v>
      </c>
      <c r="H129" s="92"/>
      <c r="I129" s="8"/>
    </row>
    <row r="130" spans="1:9">
      <c r="A130" s="7">
        <v>46151</v>
      </c>
      <c r="B130" s="5" t="s">
        <v>100</v>
      </c>
      <c r="C130" s="5">
        <v>0</v>
      </c>
      <c r="D130" s="5">
        <v>0</v>
      </c>
      <c r="E130" s="5">
        <v>0</v>
      </c>
      <c r="F130" s="5">
        <v>0</v>
      </c>
      <c r="G130" s="6">
        <f t="shared" si="1"/>
        <v>0</v>
      </c>
      <c r="H130" s="92"/>
      <c r="I130" s="8"/>
    </row>
    <row r="131" spans="1:9">
      <c r="A131" s="7">
        <v>46152</v>
      </c>
      <c r="B131" s="5" t="s">
        <v>100</v>
      </c>
      <c r="C131" s="5">
        <v>0</v>
      </c>
      <c r="D131" s="5">
        <v>0</v>
      </c>
      <c r="E131" s="5">
        <v>0</v>
      </c>
      <c r="F131" s="5">
        <v>0</v>
      </c>
      <c r="G131" s="6">
        <f t="shared" ref="G131:G194" si="2">SUM(C131,E131,F131-D131)</f>
        <v>0</v>
      </c>
      <c r="H131" s="93"/>
      <c r="I131" s="8"/>
    </row>
    <row r="132" spans="1:9">
      <c r="A132" s="7">
        <v>46153</v>
      </c>
      <c r="B132" s="5" t="s">
        <v>100</v>
      </c>
      <c r="C132" s="5">
        <v>0</v>
      </c>
      <c r="D132" s="5">
        <v>0</v>
      </c>
      <c r="E132" s="5">
        <v>0</v>
      </c>
      <c r="F132" s="5">
        <v>0</v>
      </c>
      <c r="G132" s="6">
        <f t="shared" si="2"/>
        <v>0</v>
      </c>
      <c r="H132" s="91">
        <f>SUM(G132:G138)</f>
        <v>0</v>
      </c>
      <c r="I132" s="8"/>
    </row>
    <row r="133" spans="1:9">
      <c r="A133" s="7">
        <v>46154</v>
      </c>
      <c r="B133" s="5" t="s">
        <v>100</v>
      </c>
      <c r="C133" s="5">
        <v>0</v>
      </c>
      <c r="D133" s="5">
        <v>0</v>
      </c>
      <c r="E133" s="5">
        <v>0</v>
      </c>
      <c r="F133" s="5">
        <v>0</v>
      </c>
      <c r="G133" s="6">
        <f t="shared" si="2"/>
        <v>0</v>
      </c>
      <c r="H133" s="92"/>
      <c r="I133" s="8"/>
    </row>
    <row r="134" spans="1:9">
      <c r="A134" s="7">
        <v>46155</v>
      </c>
      <c r="B134" s="5" t="s">
        <v>100</v>
      </c>
      <c r="C134" s="5">
        <v>0</v>
      </c>
      <c r="D134" s="5">
        <v>0</v>
      </c>
      <c r="E134" s="5">
        <v>0</v>
      </c>
      <c r="F134" s="5">
        <v>0</v>
      </c>
      <c r="G134" s="6">
        <f t="shared" si="2"/>
        <v>0</v>
      </c>
      <c r="H134" s="92"/>
      <c r="I134" s="8"/>
    </row>
    <row r="135" spans="1:9">
      <c r="A135" s="7">
        <v>46156</v>
      </c>
      <c r="B135" s="5" t="s">
        <v>100</v>
      </c>
      <c r="C135" s="5">
        <v>0</v>
      </c>
      <c r="D135" s="5">
        <v>0</v>
      </c>
      <c r="E135" s="5">
        <v>0</v>
      </c>
      <c r="F135" s="5">
        <v>0</v>
      </c>
      <c r="G135" s="6">
        <f t="shared" si="2"/>
        <v>0</v>
      </c>
      <c r="H135" s="92"/>
      <c r="I135" s="8"/>
    </row>
    <row r="136" spans="1:9">
      <c r="A136" s="7">
        <v>46157</v>
      </c>
      <c r="B136" s="5" t="s">
        <v>100</v>
      </c>
      <c r="C136" s="5">
        <v>0</v>
      </c>
      <c r="D136" s="5">
        <v>0</v>
      </c>
      <c r="E136" s="5">
        <v>0</v>
      </c>
      <c r="F136" s="5">
        <v>0</v>
      </c>
      <c r="G136" s="6">
        <f t="shared" si="2"/>
        <v>0</v>
      </c>
      <c r="H136" s="92"/>
      <c r="I136" s="8"/>
    </row>
    <row r="137" spans="1:9">
      <c r="A137" s="7">
        <v>46158</v>
      </c>
      <c r="B137" s="5" t="s">
        <v>100</v>
      </c>
      <c r="C137" s="5">
        <v>0</v>
      </c>
      <c r="D137" s="5">
        <v>0</v>
      </c>
      <c r="E137" s="5">
        <v>0</v>
      </c>
      <c r="F137" s="5">
        <v>0</v>
      </c>
      <c r="G137" s="6">
        <f t="shared" si="2"/>
        <v>0</v>
      </c>
      <c r="H137" s="92"/>
      <c r="I137" s="8"/>
    </row>
    <row r="138" spans="1:9">
      <c r="A138" s="7">
        <v>46159</v>
      </c>
      <c r="B138" s="5" t="s">
        <v>100</v>
      </c>
      <c r="C138" s="5">
        <v>0</v>
      </c>
      <c r="D138" s="5">
        <v>0</v>
      </c>
      <c r="E138" s="5">
        <v>0</v>
      </c>
      <c r="F138" s="5">
        <v>0</v>
      </c>
      <c r="G138" s="6">
        <f t="shared" si="2"/>
        <v>0</v>
      </c>
      <c r="H138" s="93"/>
      <c r="I138" s="8"/>
    </row>
    <row r="139" spans="1:9">
      <c r="A139" s="7">
        <v>46160</v>
      </c>
      <c r="B139" s="5" t="s">
        <v>100</v>
      </c>
      <c r="C139" s="5">
        <v>0</v>
      </c>
      <c r="D139" s="5">
        <v>0</v>
      </c>
      <c r="E139" s="5">
        <v>0</v>
      </c>
      <c r="F139" s="5">
        <v>0</v>
      </c>
      <c r="G139" s="6">
        <f t="shared" si="2"/>
        <v>0</v>
      </c>
      <c r="H139" s="91">
        <f>SUM(G139:G145)</f>
        <v>0</v>
      </c>
      <c r="I139" s="8"/>
    </row>
    <row r="140" spans="1:9">
      <c r="A140" s="7">
        <v>46161</v>
      </c>
      <c r="B140" s="5" t="s">
        <v>100</v>
      </c>
      <c r="C140" s="5">
        <v>0</v>
      </c>
      <c r="D140" s="5">
        <v>0</v>
      </c>
      <c r="E140" s="5">
        <v>0</v>
      </c>
      <c r="F140" s="5">
        <v>0</v>
      </c>
      <c r="G140" s="6">
        <f t="shared" si="2"/>
        <v>0</v>
      </c>
      <c r="H140" s="92"/>
      <c r="I140" s="8"/>
    </row>
    <row r="141" spans="1:9">
      <c r="A141" s="7">
        <v>46162</v>
      </c>
      <c r="B141" s="5" t="s">
        <v>100</v>
      </c>
      <c r="C141" s="5">
        <v>0</v>
      </c>
      <c r="D141" s="5">
        <v>0</v>
      </c>
      <c r="E141" s="5">
        <v>0</v>
      </c>
      <c r="F141" s="5">
        <v>0</v>
      </c>
      <c r="G141" s="6">
        <f t="shared" si="2"/>
        <v>0</v>
      </c>
      <c r="H141" s="92"/>
      <c r="I141" s="8"/>
    </row>
    <row r="142" spans="1:9">
      <c r="A142" s="7">
        <v>46163</v>
      </c>
      <c r="B142" s="5" t="s">
        <v>100</v>
      </c>
      <c r="C142" s="5">
        <v>0</v>
      </c>
      <c r="D142" s="5">
        <v>0</v>
      </c>
      <c r="E142" s="5">
        <v>0</v>
      </c>
      <c r="F142" s="5">
        <v>0</v>
      </c>
      <c r="G142" s="6">
        <f t="shared" si="2"/>
        <v>0</v>
      </c>
      <c r="H142" s="92"/>
      <c r="I142" s="8"/>
    </row>
    <row r="143" spans="1:9">
      <c r="A143" s="7">
        <v>46164</v>
      </c>
      <c r="B143" s="5" t="s">
        <v>100</v>
      </c>
      <c r="C143" s="5">
        <v>0</v>
      </c>
      <c r="D143" s="5">
        <v>0</v>
      </c>
      <c r="E143" s="5">
        <v>0</v>
      </c>
      <c r="F143" s="5">
        <v>0</v>
      </c>
      <c r="G143" s="6">
        <f t="shared" si="2"/>
        <v>0</v>
      </c>
      <c r="H143" s="92"/>
      <c r="I143" s="8"/>
    </row>
    <row r="144" spans="1:9">
      <c r="A144" s="7">
        <v>46165</v>
      </c>
      <c r="B144" s="5" t="s">
        <v>100</v>
      </c>
      <c r="C144" s="5">
        <v>0</v>
      </c>
      <c r="D144" s="5">
        <v>0</v>
      </c>
      <c r="E144" s="5">
        <v>0</v>
      </c>
      <c r="F144" s="5">
        <v>0</v>
      </c>
      <c r="G144" s="6">
        <f t="shared" si="2"/>
        <v>0</v>
      </c>
      <c r="H144" s="92"/>
      <c r="I144" s="8"/>
    </row>
    <row r="145" spans="1:9">
      <c r="A145" s="7">
        <v>46166</v>
      </c>
      <c r="B145" s="5" t="s">
        <v>100</v>
      </c>
      <c r="C145" s="5">
        <v>0</v>
      </c>
      <c r="D145" s="5">
        <v>0</v>
      </c>
      <c r="E145" s="5">
        <v>0</v>
      </c>
      <c r="F145" s="5">
        <v>0</v>
      </c>
      <c r="G145" s="6">
        <f t="shared" si="2"/>
        <v>0</v>
      </c>
      <c r="H145" s="93"/>
      <c r="I145" s="8"/>
    </row>
    <row r="146" spans="1:9">
      <c r="A146" s="7">
        <v>46167</v>
      </c>
      <c r="B146" s="5" t="s">
        <v>100</v>
      </c>
      <c r="C146" s="5">
        <v>0</v>
      </c>
      <c r="D146" s="5">
        <v>0</v>
      </c>
      <c r="E146" s="5">
        <v>0</v>
      </c>
      <c r="F146" s="5">
        <v>0</v>
      </c>
      <c r="G146" s="6">
        <f t="shared" si="2"/>
        <v>0</v>
      </c>
      <c r="H146" s="91">
        <f>SUM(G146:G152)</f>
        <v>0</v>
      </c>
      <c r="I146" s="8"/>
    </row>
    <row r="147" spans="1:9">
      <c r="A147" s="7">
        <v>46168</v>
      </c>
      <c r="B147" s="5" t="s">
        <v>100</v>
      </c>
      <c r="C147" s="5">
        <v>0</v>
      </c>
      <c r="D147" s="5">
        <v>0</v>
      </c>
      <c r="E147" s="5">
        <v>0</v>
      </c>
      <c r="F147" s="5">
        <v>0</v>
      </c>
      <c r="G147" s="6">
        <f t="shared" si="2"/>
        <v>0</v>
      </c>
      <c r="H147" s="92"/>
      <c r="I147" s="8"/>
    </row>
    <row r="148" spans="1:9">
      <c r="A148" s="7">
        <v>46169</v>
      </c>
      <c r="B148" s="5" t="s">
        <v>100</v>
      </c>
      <c r="C148" s="5">
        <v>0</v>
      </c>
      <c r="D148" s="5">
        <v>0</v>
      </c>
      <c r="E148" s="5">
        <v>0</v>
      </c>
      <c r="F148" s="5">
        <v>0</v>
      </c>
      <c r="G148" s="6">
        <f t="shared" si="2"/>
        <v>0</v>
      </c>
      <c r="H148" s="92"/>
      <c r="I148" s="8"/>
    </row>
    <row r="149" spans="1:9">
      <c r="A149" s="7">
        <v>46170</v>
      </c>
      <c r="B149" s="5" t="s">
        <v>100</v>
      </c>
      <c r="C149" s="5">
        <v>0</v>
      </c>
      <c r="D149" s="5">
        <v>0</v>
      </c>
      <c r="E149" s="5">
        <v>0</v>
      </c>
      <c r="F149" s="5">
        <v>0</v>
      </c>
      <c r="G149" s="6">
        <f t="shared" si="2"/>
        <v>0</v>
      </c>
      <c r="H149" s="92"/>
      <c r="I149" s="8"/>
    </row>
    <row r="150" spans="1:9">
      <c r="A150" s="7">
        <v>46171</v>
      </c>
      <c r="B150" s="5" t="s">
        <v>100</v>
      </c>
      <c r="C150" s="5">
        <v>0</v>
      </c>
      <c r="D150" s="5">
        <v>0</v>
      </c>
      <c r="E150" s="5">
        <v>0</v>
      </c>
      <c r="F150" s="5">
        <v>0</v>
      </c>
      <c r="G150" s="6">
        <f t="shared" si="2"/>
        <v>0</v>
      </c>
      <c r="H150" s="92"/>
      <c r="I150" s="8"/>
    </row>
    <row r="151" spans="1:9">
      <c r="A151" s="7">
        <v>46172</v>
      </c>
      <c r="B151" s="5" t="s">
        <v>100</v>
      </c>
      <c r="C151" s="5">
        <v>0</v>
      </c>
      <c r="D151" s="5">
        <v>0</v>
      </c>
      <c r="E151" s="5">
        <v>0</v>
      </c>
      <c r="F151" s="5">
        <v>0</v>
      </c>
      <c r="G151" s="6">
        <f t="shared" si="2"/>
        <v>0</v>
      </c>
      <c r="H151" s="92"/>
      <c r="I151" s="8"/>
    </row>
    <row r="152" spans="1:9">
      <c r="A152" s="7">
        <v>46173</v>
      </c>
      <c r="B152" s="5" t="s">
        <v>100</v>
      </c>
      <c r="C152" s="5">
        <v>0</v>
      </c>
      <c r="D152" s="5">
        <v>0</v>
      </c>
      <c r="E152" s="5">
        <v>0</v>
      </c>
      <c r="F152" s="5">
        <v>0</v>
      </c>
      <c r="G152" s="6">
        <f t="shared" si="2"/>
        <v>0</v>
      </c>
      <c r="H152" s="93"/>
      <c r="I152" s="8"/>
    </row>
    <row r="153" spans="1:9">
      <c r="A153" s="7">
        <v>46174</v>
      </c>
      <c r="B153" s="5" t="s">
        <v>100</v>
      </c>
      <c r="C153" s="5">
        <v>0</v>
      </c>
      <c r="D153" s="5">
        <v>0</v>
      </c>
      <c r="E153" s="5">
        <v>0</v>
      </c>
      <c r="F153" s="5">
        <v>0</v>
      </c>
      <c r="G153" s="6">
        <f t="shared" si="2"/>
        <v>0</v>
      </c>
      <c r="H153" s="91">
        <f>SUM(G153:G159)</f>
        <v>0</v>
      </c>
      <c r="I153" s="8"/>
    </row>
    <row r="154" spans="1:9">
      <c r="A154" s="7">
        <v>46175</v>
      </c>
      <c r="B154" s="5" t="s">
        <v>100</v>
      </c>
      <c r="C154" s="5">
        <v>0</v>
      </c>
      <c r="D154" s="5">
        <v>0</v>
      </c>
      <c r="E154" s="5">
        <v>0</v>
      </c>
      <c r="F154" s="5">
        <v>0</v>
      </c>
      <c r="G154" s="6">
        <f t="shared" si="2"/>
        <v>0</v>
      </c>
      <c r="H154" s="92"/>
      <c r="I154" s="8"/>
    </row>
    <row r="155" spans="1:9">
      <c r="A155" s="7">
        <v>46176</v>
      </c>
      <c r="B155" s="5" t="s">
        <v>100</v>
      </c>
      <c r="C155" s="5">
        <v>0</v>
      </c>
      <c r="D155" s="5">
        <v>0</v>
      </c>
      <c r="E155" s="5">
        <v>0</v>
      </c>
      <c r="F155" s="5">
        <v>0</v>
      </c>
      <c r="G155" s="6">
        <f t="shared" si="2"/>
        <v>0</v>
      </c>
      <c r="H155" s="92"/>
      <c r="I155" s="8"/>
    </row>
    <row r="156" spans="1:9">
      <c r="A156" s="7">
        <v>46177</v>
      </c>
      <c r="B156" s="5" t="s">
        <v>100</v>
      </c>
      <c r="C156" s="5">
        <v>0</v>
      </c>
      <c r="D156" s="5">
        <v>0</v>
      </c>
      <c r="E156" s="5">
        <v>0</v>
      </c>
      <c r="F156" s="5">
        <v>0</v>
      </c>
      <c r="G156" s="6">
        <f t="shared" si="2"/>
        <v>0</v>
      </c>
      <c r="H156" s="92"/>
      <c r="I156" s="8"/>
    </row>
    <row r="157" spans="1:9">
      <c r="A157" s="7">
        <v>46178</v>
      </c>
      <c r="B157" s="5" t="s">
        <v>100</v>
      </c>
      <c r="C157" s="5">
        <v>0</v>
      </c>
      <c r="D157" s="5">
        <v>0</v>
      </c>
      <c r="E157" s="5">
        <v>0</v>
      </c>
      <c r="F157" s="5">
        <v>0</v>
      </c>
      <c r="G157" s="6">
        <f t="shared" si="2"/>
        <v>0</v>
      </c>
      <c r="H157" s="92"/>
      <c r="I157" s="8"/>
    </row>
    <row r="158" spans="1:9">
      <c r="A158" s="7">
        <v>46179</v>
      </c>
      <c r="B158" s="5" t="s">
        <v>100</v>
      </c>
      <c r="C158" s="5">
        <v>0</v>
      </c>
      <c r="D158" s="5">
        <v>0</v>
      </c>
      <c r="E158" s="5">
        <v>0</v>
      </c>
      <c r="F158" s="5">
        <v>0</v>
      </c>
      <c r="G158" s="6">
        <f t="shared" si="2"/>
        <v>0</v>
      </c>
      <c r="H158" s="92"/>
      <c r="I158" s="8"/>
    </row>
    <row r="159" spans="1:9">
      <c r="A159" s="7">
        <v>46180</v>
      </c>
      <c r="B159" s="5" t="s">
        <v>100</v>
      </c>
      <c r="C159" s="5">
        <v>0</v>
      </c>
      <c r="D159" s="5">
        <v>0</v>
      </c>
      <c r="E159" s="5">
        <v>0</v>
      </c>
      <c r="F159" s="5">
        <v>0</v>
      </c>
      <c r="G159" s="6">
        <f t="shared" si="2"/>
        <v>0</v>
      </c>
      <c r="H159" s="93"/>
      <c r="I159" s="8"/>
    </row>
    <row r="160" spans="1:9">
      <c r="A160" s="7">
        <v>46181</v>
      </c>
      <c r="B160" s="5" t="s">
        <v>100</v>
      </c>
      <c r="C160" s="5">
        <v>0</v>
      </c>
      <c r="D160" s="5">
        <v>0</v>
      </c>
      <c r="E160" s="5">
        <v>0</v>
      </c>
      <c r="F160" s="5">
        <v>0</v>
      </c>
      <c r="G160" s="6">
        <f t="shared" si="2"/>
        <v>0</v>
      </c>
      <c r="H160" s="91">
        <f>SUM(G160:G166)</f>
        <v>0</v>
      </c>
      <c r="I160" s="8"/>
    </row>
    <row r="161" spans="1:9">
      <c r="A161" s="7">
        <v>46182</v>
      </c>
      <c r="B161" s="5" t="s">
        <v>100</v>
      </c>
      <c r="C161" s="5">
        <v>0</v>
      </c>
      <c r="D161" s="5">
        <v>0</v>
      </c>
      <c r="E161" s="5">
        <v>0</v>
      </c>
      <c r="F161" s="5">
        <v>0</v>
      </c>
      <c r="G161" s="6">
        <f t="shared" si="2"/>
        <v>0</v>
      </c>
      <c r="H161" s="92"/>
      <c r="I161" s="8"/>
    </row>
    <row r="162" spans="1:9">
      <c r="A162" s="7">
        <v>46183</v>
      </c>
      <c r="B162" s="5" t="s">
        <v>100</v>
      </c>
      <c r="C162" s="5">
        <v>0</v>
      </c>
      <c r="D162" s="5">
        <v>0</v>
      </c>
      <c r="E162" s="5">
        <v>0</v>
      </c>
      <c r="F162" s="5">
        <v>0</v>
      </c>
      <c r="G162" s="6">
        <f t="shared" si="2"/>
        <v>0</v>
      </c>
      <c r="H162" s="92"/>
      <c r="I162" s="8"/>
    </row>
    <row r="163" spans="1:9">
      <c r="A163" s="7">
        <v>46184</v>
      </c>
      <c r="B163" s="5" t="s">
        <v>100</v>
      </c>
      <c r="C163" s="5">
        <v>0</v>
      </c>
      <c r="D163" s="5">
        <v>0</v>
      </c>
      <c r="E163" s="5">
        <v>0</v>
      </c>
      <c r="F163" s="5">
        <v>0</v>
      </c>
      <c r="G163" s="6">
        <f t="shared" si="2"/>
        <v>0</v>
      </c>
      <c r="H163" s="92"/>
      <c r="I163" s="8"/>
    </row>
    <row r="164" spans="1:9">
      <c r="A164" s="7">
        <v>46185</v>
      </c>
      <c r="B164" s="5" t="s">
        <v>100</v>
      </c>
      <c r="C164" s="5">
        <v>0</v>
      </c>
      <c r="D164" s="5">
        <v>0</v>
      </c>
      <c r="E164" s="5">
        <v>0</v>
      </c>
      <c r="F164" s="5">
        <v>0</v>
      </c>
      <c r="G164" s="6">
        <f t="shared" si="2"/>
        <v>0</v>
      </c>
      <c r="H164" s="92"/>
      <c r="I164" s="8"/>
    </row>
    <row r="165" spans="1:9">
      <c r="A165" s="7">
        <v>46186</v>
      </c>
      <c r="B165" s="5" t="s">
        <v>100</v>
      </c>
      <c r="C165" s="5">
        <v>0</v>
      </c>
      <c r="D165" s="5">
        <v>0</v>
      </c>
      <c r="E165" s="5">
        <v>0</v>
      </c>
      <c r="F165" s="5">
        <v>0</v>
      </c>
      <c r="G165" s="6">
        <f t="shared" si="2"/>
        <v>0</v>
      </c>
      <c r="H165" s="92"/>
      <c r="I165" s="8"/>
    </row>
    <row r="166" spans="1:9">
      <c r="A166" s="7">
        <v>46187</v>
      </c>
      <c r="B166" s="5" t="s">
        <v>100</v>
      </c>
      <c r="C166" s="5">
        <v>0</v>
      </c>
      <c r="D166" s="5">
        <v>0</v>
      </c>
      <c r="E166" s="5">
        <v>0</v>
      </c>
      <c r="F166" s="5">
        <v>0</v>
      </c>
      <c r="G166" s="6">
        <f t="shared" si="2"/>
        <v>0</v>
      </c>
      <c r="H166" s="93"/>
      <c r="I166" s="8"/>
    </row>
    <row r="167" spans="1:9">
      <c r="A167" s="7">
        <v>46188</v>
      </c>
      <c r="B167" s="5" t="s">
        <v>100</v>
      </c>
      <c r="C167" s="5">
        <v>0</v>
      </c>
      <c r="D167" s="5">
        <v>0</v>
      </c>
      <c r="E167" s="5">
        <v>0</v>
      </c>
      <c r="F167" s="5">
        <v>0</v>
      </c>
      <c r="G167" s="6">
        <f t="shared" si="2"/>
        <v>0</v>
      </c>
      <c r="H167" s="91">
        <f>SUM(G167:G173)</f>
        <v>0</v>
      </c>
      <c r="I167" s="8"/>
    </row>
    <row r="168" spans="1:9">
      <c r="A168" s="7">
        <v>46189</v>
      </c>
      <c r="B168" s="5" t="s">
        <v>100</v>
      </c>
      <c r="C168" s="5">
        <v>0</v>
      </c>
      <c r="D168" s="5">
        <v>0</v>
      </c>
      <c r="E168" s="5">
        <v>0</v>
      </c>
      <c r="F168" s="5">
        <v>0</v>
      </c>
      <c r="G168" s="6">
        <f t="shared" si="2"/>
        <v>0</v>
      </c>
      <c r="H168" s="92"/>
      <c r="I168" s="8"/>
    </row>
    <row r="169" spans="1:9">
      <c r="A169" s="7">
        <v>46190</v>
      </c>
      <c r="B169" s="5" t="s">
        <v>100</v>
      </c>
      <c r="C169" s="5">
        <v>0</v>
      </c>
      <c r="D169" s="5">
        <v>0</v>
      </c>
      <c r="E169" s="5">
        <v>0</v>
      </c>
      <c r="F169" s="5">
        <v>0</v>
      </c>
      <c r="G169" s="6">
        <f t="shared" si="2"/>
        <v>0</v>
      </c>
      <c r="H169" s="92"/>
      <c r="I169" s="8"/>
    </row>
    <row r="170" spans="1:9">
      <c r="A170" s="7">
        <v>46191</v>
      </c>
      <c r="B170" s="5" t="s">
        <v>100</v>
      </c>
      <c r="C170" s="5">
        <v>0</v>
      </c>
      <c r="D170" s="5">
        <v>0</v>
      </c>
      <c r="E170" s="5">
        <v>0</v>
      </c>
      <c r="F170" s="5">
        <v>0</v>
      </c>
      <c r="G170" s="6">
        <f t="shared" si="2"/>
        <v>0</v>
      </c>
      <c r="H170" s="92"/>
      <c r="I170" s="8"/>
    </row>
    <row r="171" spans="1:9">
      <c r="A171" s="7">
        <v>46192</v>
      </c>
      <c r="B171" s="5" t="s">
        <v>100</v>
      </c>
      <c r="C171" s="5">
        <v>0</v>
      </c>
      <c r="D171" s="5">
        <v>0</v>
      </c>
      <c r="E171" s="5">
        <v>0</v>
      </c>
      <c r="F171" s="5">
        <v>0</v>
      </c>
      <c r="G171" s="6">
        <f t="shared" si="2"/>
        <v>0</v>
      </c>
      <c r="H171" s="92"/>
      <c r="I171" s="8"/>
    </row>
    <row r="172" spans="1:9">
      <c r="A172" s="7">
        <v>46193</v>
      </c>
      <c r="B172" s="5" t="s">
        <v>100</v>
      </c>
      <c r="C172" s="5">
        <v>0</v>
      </c>
      <c r="D172" s="5">
        <v>0</v>
      </c>
      <c r="E172" s="5">
        <v>0</v>
      </c>
      <c r="F172" s="5">
        <v>0</v>
      </c>
      <c r="G172" s="6">
        <f t="shared" si="2"/>
        <v>0</v>
      </c>
      <c r="H172" s="92"/>
      <c r="I172" s="8"/>
    </row>
    <row r="173" spans="1:9">
      <c r="A173" s="7">
        <v>46194</v>
      </c>
      <c r="B173" s="5" t="s">
        <v>100</v>
      </c>
      <c r="C173" s="5">
        <v>0</v>
      </c>
      <c r="D173" s="5">
        <v>0</v>
      </c>
      <c r="E173" s="5">
        <v>0</v>
      </c>
      <c r="F173" s="5">
        <v>0</v>
      </c>
      <c r="G173" s="6">
        <f t="shared" si="2"/>
        <v>0</v>
      </c>
      <c r="H173" s="93"/>
      <c r="I173" s="8"/>
    </row>
    <row r="174" spans="1:9">
      <c r="A174" s="7">
        <v>46195</v>
      </c>
      <c r="B174" s="5" t="s">
        <v>100</v>
      </c>
      <c r="C174" s="5">
        <v>0</v>
      </c>
      <c r="D174" s="5">
        <v>0</v>
      </c>
      <c r="E174" s="5">
        <v>0</v>
      </c>
      <c r="F174" s="5">
        <v>0</v>
      </c>
      <c r="G174" s="6">
        <f t="shared" si="2"/>
        <v>0</v>
      </c>
      <c r="H174" s="91">
        <f>SUM(G174:G180)</f>
        <v>0</v>
      </c>
      <c r="I174" s="8"/>
    </row>
    <row r="175" spans="1:9">
      <c r="A175" s="7">
        <v>46196</v>
      </c>
      <c r="B175" s="5" t="s">
        <v>100</v>
      </c>
      <c r="C175" s="5">
        <v>0</v>
      </c>
      <c r="D175" s="5">
        <v>0</v>
      </c>
      <c r="E175" s="5">
        <v>0</v>
      </c>
      <c r="F175" s="5">
        <v>0</v>
      </c>
      <c r="G175" s="6">
        <f t="shared" si="2"/>
        <v>0</v>
      </c>
      <c r="H175" s="92"/>
      <c r="I175" s="8"/>
    </row>
    <row r="176" spans="1:9">
      <c r="A176" s="7">
        <v>46197</v>
      </c>
      <c r="B176" s="5" t="s">
        <v>100</v>
      </c>
      <c r="C176" s="5">
        <v>0</v>
      </c>
      <c r="D176" s="5">
        <v>0</v>
      </c>
      <c r="E176" s="5">
        <v>0</v>
      </c>
      <c r="F176" s="5">
        <v>0</v>
      </c>
      <c r="G176" s="6">
        <f t="shared" si="2"/>
        <v>0</v>
      </c>
      <c r="H176" s="92"/>
      <c r="I176" s="8"/>
    </row>
    <row r="177" spans="1:9">
      <c r="A177" s="7">
        <v>46198</v>
      </c>
      <c r="B177" s="5" t="s">
        <v>100</v>
      </c>
      <c r="C177" s="5">
        <v>0</v>
      </c>
      <c r="D177" s="5">
        <v>0</v>
      </c>
      <c r="E177" s="5">
        <v>0</v>
      </c>
      <c r="F177" s="5">
        <v>0</v>
      </c>
      <c r="G177" s="6">
        <f t="shared" si="2"/>
        <v>0</v>
      </c>
      <c r="H177" s="92"/>
      <c r="I177" s="8"/>
    </row>
    <row r="178" spans="1:9">
      <c r="A178" s="7">
        <v>46199</v>
      </c>
      <c r="B178" s="5" t="s">
        <v>100</v>
      </c>
      <c r="C178" s="5">
        <v>0</v>
      </c>
      <c r="D178" s="5">
        <v>0</v>
      </c>
      <c r="E178" s="5">
        <v>0</v>
      </c>
      <c r="F178" s="5">
        <v>0</v>
      </c>
      <c r="G178" s="6">
        <f t="shared" si="2"/>
        <v>0</v>
      </c>
      <c r="H178" s="92"/>
      <c r="I178" s="8"/>
    </row>
    <row r="179" spans="1:9">
      <c r="A179" s="7">
        <v>46200</v>
      </c>
      <c r="B179" s="5" t="s">
        <v>100</v>
      </c>
      <c r="C179" s="5">
        <v>0</v>
      </c>
      <c r="D179" s="5">
        <v>0</v>
      </c>
      <c r="E179" s="5">
        <v>0</v>
      </c>
      <c r="F179" s="5">
        <v>0</v>
      </c>
      <c r="G179" s="6">
        <f t="shared" si="2"/>
        <v>0</v>
      </c>
      <c r="H179" s="92"/>
      <c r="I179" s="8"/>
    </row>
    <row r="180" spans="1:9">
      <c r="A180" s="7">
        <v>46201</v>
      </c>
      <c r="B180" s="5" t="s">
        <v>100</v>
      </c>
      <c r="C180" s="5">
        <v>0</v>
      </c>
      <c r="D180" s="5">
        <v>0</v>
      </c>
      <c r="E180" s="5">
        <v>0</v>
      </c>
      <c r="F180" s="5">
        <v>0</v>
      </c>
      <c r="G180" s="6">
        <f t="shared" si="2"/>
        <v>0</v>
      </c>
      <c r="H180" s="93"/>
      <c r="I180" s="8"/>
    </row>
    <row r="181" spans="1:9">
      <c r="A181" s="7">
        <v>46202</v>
      </c>
      <c r="B181" s="5" t="s">
        <v>100</v>
      </c>
      <c r="C181" s="5">
        <v>0</v>
      </c>
      <c r="D181" s="5">
        <v>0</v>
      </c>
      <c r="E181" s="5">
        <v>0</v>
      </c>
      <c r="F181" s="5">
        <v>0</v>
      </c>
      <c r="G181" s="6">
        <f t="shared" si="2"/>
        <v>0</v>
      </c>
      <c r="H181" s="91">
        <f>SUM(G181:G187)</f>
        <v>0</v>
      </c>
      <c r="I181" s="8"/>
    </row>
    <row r="182" spans="1:9">
      <c r="A182" s="7">
        <v>46203</v>
      </c>
      <c r="B182" s="5" t="s">
        <v>100</v>
      </c>
      <c r="C182" s="5">
        <v>0</v>
      </c>
      <c r="D182" s="5">
        <v>0</v>
      </c>
      <c r="E182" s="5">
        <v>0</v>
      </c>
      <c r="F182" s="5">
        <v>0</v>
      </c>
      <c r="G182" s="6">
        <f t="shared" si="2"/>
        <v>0</v>
      </c>
      <c r="H182" s="92"/>
      <c r="I182" s="8"/>
    </row>
    <row r="183" spans="1:9">
      <c r="A183" s="7">
        <v>46204</v>
      </c>
      <c r="B183" s="5" t="s">
        <v>100</v>
      </c>
      <c r="C183" s="5">
        <v>0</v>
      </c>
      <c r="D183" s="5">
        <v>0</v>
      </c>
      <c r="E183" s="5">
        <v>0</v>
      </c>
      <c r="F183" s="5">
        <v>0</v>
      </c>
      <c r="G183" s="6">
        <f t="shared" si="2"/>
        <v>0</v>
      </c>
      <c r="H183" s="92"/>
      <c r="I183" s="8"/>
    </row>
    <row r="184" spans="1:9">
      <c r="A184" s="7">
        <v>46205</v>
      </c>
      <c r="B184" s="5" t="s">
        <v>100</v>
      </c>
      <c r="C184" s="5">
        <v>0</v>
      </c>
      <c r="D184" s="5">
        <v>0</v>
      </c>
      <c r="E184" s="5">
        <v>0</v>
      </c>
      <c r="F184" s="5">
        <v>0</v>
      </c>
      <c r="G184" s="6">
        <f t="shared" si="2"/>
        <v>0</v>
      </c>
      <c r="H184" s="92"/>
      <c r="I184" s="8"/>
    </row>
    <row r="185" spans="1:9">
      <c r="A185" s="7">
        <v>46206</v>
      </c>
      <c r="B185" s="5" t="s">
        <v>100</v>
      </c>
      <c r="C185" s="5">
        <v>0</v>
      </c>
      <c r="D185" s="5">
        <v>0</v>
      </c>
      <c r="E185" s="5">
        <v>0</v>
      </c>
      <c r="F185" s="5">
        <v>0</v>
      </c>
      <c r="G185" s="6">
        <f t="shared" si="2"/>
        <v>0</v>
      </c>
      <c r="H185" s="92"/>
      <c r="I185" s="8"/>
    </row>
    <row r="186" spans="1:9">
      <c r="A186" s="7">
        <v>46207</v>
      </c>
      <c r="B186" s="5" t="s">
        <v>100</v>
      </c>
      <c r="C186" s="5">
        <v>0</v>
      </c>
      <c r="D186" s="5">
        <v>0</v>
      </c>
      <c r="E186" s="5">
        <v>0</v>
      </c>
      <c r="F186" s="5">
        <v>0</v>
      </c>
      <c r="G186" s="6">
        <f t="shared" si="2"/>
        <v>0</v>
      </c>
      <c r="H186" s="92"/>
      <c r="I186" s="8"/>
    </row>
    <row r="187" spans="1:9">
      <c r="A187" s="7">
        <v>46208</v>
      </c>
      <c r="B187" s="5" t="s">
        <v>100</v>
      </c>
      <c r="C187" s="5">
        <v>0</v>
      </c>
      <c r="D187" s="5">
        <v>0</v>
      </c>
      <c r="E187" s="5">
        <v>0</v>
      </c>
      <c r="F187" s="5">
        <v>0</v>
      </c>
      <c r="G187" s="6">
        <f t="shared" si="2"/>
        <v>0</v>
      </c>
      <c r="H187" s="93"/>
      <c r="I187" s="8"/>
    </row>
    <row r="188" spans="1:9">
      <c r="A188" s="7">
        <v>46209</v>
      </c>
      <c r="B188" s="5" t="s">
        <v>100</v>
      </c>
      <c r="C188" s="5">
        <v>0</v>
      </c>
      <c r="D188" s="5">
        <v>0</v>
      </c>
      <c r="E188" s="5">
        <v>0</v>
      </c>
      <c r="F188" s="5">
        <v>0</v>
      </c>
      <c r="G188" s="6">
        <f t="shared" si="2"/>
        <v>0</v>
      </c>
      <c r="H188" s="91">
        <f>SUM(G188:G194)</f>
        <v>0</v>
      </c>
      <c r="I188" s="8"/>
    </row>
    <row r="189" spans="1:9">
      <c r="A189" s="7">
        <v>46210</v>
      </c>
      <c r="B189" s="5" t="s">
        <v>100</v>
      </c>
      <c r="C189" s="5">
        <v>0</v>
      </c>
      <c r="D189" s="5">
        <v>0</v>
      </c>
      <c r="E189" s="5">
        <v>0</v>
      </c>
      <c r="F189" s="5">
        <v>0</v>
      </c>
      <c r="G189" s="6">
        <f t="shared" si="2"/>
        <v>0</v>
      </c>
      <c r="H189" s="92"/>
      <c r="I189" s="8"/>
    </row>
    <row r="190" spans="1:9">
      <c r="A190" s="7">
        <v>46211</v>
      </c>
      <c r="B190" s="5" t="s">
        <v>100</v>
      </c>
      <c r="C190" s="5">
        <v>0</v>
      </c>
      <c r="D190" s="5">
        <v>0</v>
      </c>
      <c r="E190" s="5">
        <v>0</v>
      </c>
      <c r="F190" s="5">
        <v>0</v>
      </c>
      <c r="G190" s="6">
        <f t="shared" si="2"/>
        <v>0</v>
      </c>
      <c r="H190" s="92"/>
      <c r="I190" s="8"/>
    </row>
    <row r="191" spans="1:9">
      <c r="A191" s="7">
        <v>46212</v>
      </c>
      <c r="B191" s="5" t="s">
        <v>100</v>
      </c>
      <c r="C191" s="5">
        <v>0</v>
      </c>
      <c r="D191" s="5">
        <v>0</v>
      </c>
      <c r="E191" s="5">
        <v>0</v>
      </c>
      <c r="F191" s="5">
        <v>0</v>
      </c>
      <c r="G191" s="6">
        <f t="shared" si="2"/>
        <v>0</v>
      </c>
      <c r="H191" s="92"/>
      <c r="I191" s="8"/>
    </row>
    <row r="192" spans="1:9">
      <c r="A192" s="7">
        <v>46213</v>
      </c>
      <c r="B192" s="5" t="s">
        <v>100</v>
      </c>
      <c r="C192" s="5">
        <v>0</v>
      </c>
      <c r="D192" s="5">
        <v>0</v>
      </c>
      <c r="E192" s="5">
        <v>0</v>
      </c>
      <c r="F192" s="5">
        <v>0</v>
      </c>
      <c r="G192" s="6">
        <f t="shared" si="2"/>
        <v>0</v>
      </c>
      <c r="H192" s="92"/>
      <c r="I192" s="8"/>
    </row>
    <row r="193" spans="1:9">
      <c r="A193" s="7">
        <v>46214</v>
      </c>
      <c r="B193" s="5" t="s">
        <v>100</v>
      </c>
      <c r="C193" s="5">
        <v>0</v>
      </c>
      <c r="D193" s="5">
        <v>0</v>
      </c>
      <c r="E193" s="5">
        <v>0</v>
      </c>
      <c r="F193" s="5">
        <v>0</v>
      </c>
      <c r="G193" s="6">
        <f t="shared" si="2"/>
        <v>0</v>
      </c>
      <c r="H193" s="92"/>
      <c r="I193" s="8"/>
    </row>
    <row r="194" spans="1:9">
      <c r="A194" s="7">
        <v>46215</v>
      </c>
      <c r="B194" s="5" t="s">
        <v>100</v>
      </c>
      <c r="C194" s="5">
        <v>0</v>
      </c>
      <c r="D194" s="5">
        <v>0</v>
      </c>
      <c r="E194" s="5">
        <v>0</v>
      </c>
      <c r="F194" s="5">
        <v>0</v>
      </c>
      <c r="G194" s="6">
        <f t="shared" si="2"/>
        <v>0</v>
      </c>
      <c r="H194" s="93"/>
      <c r="I194" s="8"/>
    </row>
    <row r="195" spans="1:9">
      <c r="A195" s="7">
        <v>46216</v>
      </c>
      <c r="B195" s="5" t="s">
        <v>100</v>
      </c>
      <c r="C195" s="5">
        <v>0</v>
      </c>
      <c r="D195" s="5">
        <v>0</v>
      </c>
      <c r="E195" s="5">
        <v>0</v>
      </c>
      <c r="F195" s="5">
        <v>0</v>
      </c>
      <c r="G195" s="6">
        <f t="shared" ref="G195:G258" si="3">SUM(C195,E195,F195-D195)</f>
        <v>0</v>
      </c>
      <c r="H195" s="91">
        <f>SUM(G195:G201)</f>
        <v>0</v>
      </c>
      <c r="I195" s="8"/>
    </row>
    <row r="196" spans="1:9">
      <c r="A196" s="7">
        <v>46217</v>
      </c>
      <c r="B196" s="5" t="s">
        <v>100</v>
      </c>
      <c r="C196" s="5">
        <v>0</v>
      </c>
      <c r="D196" s="5">
        <v>0</v>
      </c>
      <c r="E196" s="5">
        <v>0</v>
      </c>
      <c r="F196" s="5">
        <v>0</v>
      </c>
      <c r="G196" s="6">
        <f t="shared" si="3"/>
        <v>0</v>
      </c>
      <c r="H196" s="92"/>
      <c r="I196" s="8"/>
    </row>
    <row r="197" spans="1:9">
      <c r="A197" s="7">
        <v>46218</v>
      </c>
      <c r="B197" s="5" t="s">
        <v>100</v>
      </c>
      <c r="C197" s="5">
        <v>0</v>
      </c>
      <c r="D197" s="5">
        <v>0</v>
      </c>
      <c r="E197" s="5">
        <v>0</v>
      </c>
      <c r="F197" s="5">
        <v>0</v>
      </c>
      <c r="G197" s="6">
        <f t="shared" si="3"/>
        <v>0</v>
      </c>
      <c r="H197" s="92"/>
      <c r="I197" s="8"/>
    </row>
    <row r="198" spans="1:9">
      <c r="A198" s="7">
        <v>46219</v>
      </c>
      <c r="B198" s="5" t="s">
        <v>100</v>
      </c>
      <c r="C198" s="5">
        <v>0</v>
      </c>
      <c r="D198" s="5">
        <v>0</v>
      </c>
      <c r="E198" s="5">
        <v>0</v>
      </c>
      <c r="F198" s="5">
        <v>0</v>
      </c>
      <c r="G198" s="6">
        <f t="shared" si="3"/>
        <v>0</v>
      </c>
      <c r="H198" s="92"/>
      <c r="I198" s="8"/>
    </row>
    <row r="199" spans="1:9">
      <c r="A199" s="7">
        <v>46220</v>
      </c>
      <c r="B199" s="5" t="s">
        <v>100</v>
      </c>
      <c r="C199" s="5">
        <v>0</v>
      </c>
      <c r="D199" s="5">
        <v>0</v>
      </c>
      <c r="E199" s="5">
        <v>0</v>
      </c>
      <c r="F199" s="5">
        <v>0</v>
      </c>
      <c r="G199" s="6">
        <f t="shared" si="3"/>
        <v>0</v>
      </c>
      <c r="H199" s="92"/>
      <c r="I199" s="8"/>
    </row>
    <row r="200" spans="1:9">
      <c r="A200" s="7">
        <v>46221</v>
      </c>
      <c r="B200" s="5" t="s">
        <v>100</v>
      </c>
      <c r="C200" s="5">
        <v>0</v>
      </c>
      <c r="D200" s="5">
        <v>0</v>
      </c>
      <c r="E200" s="5">
        <v>0</v>
      </c>
      <c r="F200" s="5">
        <v>0</v>
      </c>
      <c r="G200" s="6">
        <f t="shared" si="3"/>
        <v>0</v>
      </c>
      <c r="H200" s="92"/>
      <c r="I200" s="8"/>
    </row>
    <row r="201" spans="1:9">
      <c r="A201" s="7">
        <v>46222</v>
      </c>
      <c r="B201" s="5" t="s">
        <v>100</v>
      </c>
      <c r="C201" s="5">
        <v>0</v>
      </c>
      <c r="D201" s="5">
        <v>0</v>
      </c>
      <c r="E201" s="5">
        <v>0</v>
      </c>
      <c r="F201" s="5">
        <v>0</v>
      </c>
      <c r="G201" s="6">
        <f t="shared" si="3"/>
        <v>0</v>
      </c>
      <c r="H201" s="93"/>
      <c r="I201" s="8"/>
    </row>
    <row r="202" spans="1:9">
      <c r="A202" s="7">
        <v>46223</v>
      </c>
      <c r="B202" s="5" t="s">
        <v>100</v>
      </c>
      <c r="C202" s="5">
        <v>0</v>
      </c>
      <c r="D202" s="5">
        <v>0</v>
      </c>
      <c r="E202" s="5">
        <v>0</v>
      </c>
      <c r="F202" s="5">
        <v>0</v>
      </c>
      <c r="G202" s="6">
        <f t="shared" si="3"/>
        <v>0</v>
      </c>
      <c r="H202" s="91">
        <f>SUM(G202:G208)</f>
        <v>0</v>
      </c>
      <c r="I202" s="8"/>
    </row>
    <row r="203" spans="1:9">
      <c r="A203" s="7">
        <v>46224</v>
      </c>
      <c r="B203" s="5" t="s">
        <v>100</v>
      </c>
      <c r="C203" s="5">
        <v>0</v>
      </c>
      <c r="D203" s="5">
        <v>0</v>
      </c>
      <c r="E203" s="5">
        <v>0</v>
      </c>
      <c r="F203" s="5">
        <v>0</v>
      </c>
      <c r="G203" s="6">
        <f t="shared" si="3"/>
        <v>0</v>
      </c>
      <c r="H203" s="92"/>
      <c r="I203" s="8"/>
    </row>
    <row r="204" spans="1:9">
      <c r="A204" s="7">
        <v>46225</v>
      </c>
      <c r="B204" s="5" t="s">
        <v>100</v>
      </c>
      <c r="C204" s="5">
        <v>0</v>
      </c>
      <c r="D204" s="5">
        <v>0</v>
      </c>
      <c r="E204" s="5">
        <v>0</v>
      </c>
      <c r="F204" s="5">
        <v>0</v>
      </c>
      <c r="G204" s="6">
        <f t="shared" si="3"/>
        <v>0</v>
      </c>
      <c r="H204" s="92"/>
      <c r="I204" s="8"/>
    </row>
    <row r="205" spans="1:9">
      <c r="A205" s="7">
        <v>46226</v>
      </c>
      <c r="B205" s="5" t="s">
        <v>100</v>
      </c>
      <c r="C205" s="5">
        <v>0</v>
      </c>
      <c r="D205" s="5">
        <v>0</v>
      </c>
      <c r="E205" s="5">
        <v>0</v>
      </c>
      <c r="F205" s="5">
        <v>0</v>
      </c>
      <c r="G205" s="6">
        <f t="shared" si="3"/>
        <v>0</v>
      </c>
      <c r="H205" s="92"/>
      <c r="I205" s="8"/>
    </row>
    <row r="206" spans="1:9">
      <c r="A206" s="7">
        <v>46227</v>
      </c>
      <c r="B206" s="5" t="s">
        <v>100</v>
      </c>
      <c r="C206" s="5">
        <v>0</v>
      </c>
      <c r="D206" s="5">
        <v>0</v>
      </c>
      <c r="E206" s="5">
        <v>0</v>
      </c>
      <c r="F206" s="5">
        <v>0</v>
      </c>
      <c r="G206" s="6">
        <f t="shared" si="3"/>
        <v>0</v>
      </c>
      <c r="H206" s="92"/>
      <c r="I206" s="8"/>
    </row>
    <row r="207" spans="1:9">
      <c r="A207" s="7">
        <v>46228</v>
      </c>
      <c r="B207" s="5" t="s">
        <v>100</v>
      </c>
      <c r="C207" s="5">
        <v>0</v>
      </c>
      <c r="D207" s="5">
        <v>0</v>
      </c>
      <c r="E207" s="5">
        <v>0</v>
      </c>
      <c r="F207" s="5">
        <v>0</v>
      </c>
      <c r="G207" s="6">
        <f t="shared" si="3"/>
        <v>0</v>
      </c>
      <c r="H207" s="92"/>
      <c r="I207" s="8"/>
    </row>
    <row r="208" spans="1:9">
      <c r="A208" s="7">
        <v>46229</v>
      </c>
      <c r="B208" s="5" t="s">
        <v>100</v>
      </c>
      <c r="C208" s="5">
        <v>0</v>
      </c>
      <c r="D208" s="5">
        <v>0</v>
      </c>
      <c r="E208" s="5">
        <v>0</v>
      </c>
      <c r="F208" s="5">
        <v>0</v>
      </c>
      <c r="G208" s="6">
        <f t="shared" si="3"/>
        <v>0</v>
      </c>
      <c r="H208" s="93"/>
      <c r="I208" s="8"/>
    </row>
    <row r="209" spans="1:9">
      <c r="A209" s="7">
        <v>46230</v>
      </c>
      <c r="B209" s="5" t="s">
        <v>100</v>
      </c>
      <c r="C209" s="5">
        <v>0</v>
      </c>
      <c r="D209" s="5">
        <v>0</v>
      </c>
      <c r="E209" s="5">
        <v>0</v>
      </c>
      <c r="F209" s="5">
        <v>0</v>
      </c>
      <c r="G209" s="6">
        <f t="shared" si="3"/>
        <v>0</v>
      </c>
      <c r="H209" s="91">
        <f>SUM(G209:G215)</f>
        <v>0</v>
      </c>
      <c r="I209" s="8"/>
    </row>
    <row r="210" spans="1:9">
      <c r="A210" s="7">
        <v>46231</v>
      </c>
      <c r="B210" s="5" t="s">
        <v>100</v>
      </c>
      <c r="C210" s="5">
        <v>0</v>
      </c>
      <c r="D210" s="5">
        <v>0</v>
      </c>
      <c r="E210" s="5">
        <v>0</v>
      </c>
      <c r="F210" s="5">
        <v>0</v>
      </c>
      <c r="G210" s="6">
        <f t="shared" si="3"/>
        <v>0</v>
      </c>
      <c r="H210" s="92"/>
      <c r="I210" s="8"/>
    </row>
    <row r="211" spans="1:9">
      <c r="A211" s="7">
        <v>46232</v>
      </c>
      <c r="B211" s="5" t="s">
        <v>100</v>
      </c>
      <c r="C211" s="5">
        <v>0</v>
      </c>
      <c r="D211" s="5">
        <v>0</v>
      </c>
      <c r="E211" s="5">
        <v>0</v>
      </c>
      <c r="F211" s="5">
        <v>0</v>
      </c>
      <c r="G211" s="6">
        <f t="shared" si="3"/>
        <v>0</v>
      </c>
      <c r="H211" s="92"/>
      <c r="I211" s="8"/>
    </row>
    <row r="212" spans="1:9">
      <c r="A212" s="7">
        <v>46233</v>
      </c>
      <c r="B212" s="5" t="s">
        <v>100</v>
      </c>
      <c r="C212" s="5">
        <v>0</v>
      </c>
      <c r="D212" s="5">
        <v>0</v>
      </c>
      <c r="E212" s="5">
        <v>0</v>
      </c>
      <c r="F212" s="5">
        <v>0</v>
      </c>
      <c r="G212" s="6">
        <f t="shared" si="3"/>
        <v>0</v>
      </c>
      <c r="H212" s="92"/>
      <c r="I212" s="8"/>
    </row>
    <row r="213" spans="1:9">
      <c r="A213" s="7">
        <v>46234</v>
      </c>
      <c r="B213" s="5" t="s">
        <v>100</v>
      </c>
      <c r="C213" s="5">
        <v>0</v>
      </c>
      <c r="D213" s="5">
        <v>0</v>
      </c>
      <c r="E213" s="5">
        <v>0</v>
      </c>
      <c r="F213" s="5">
        <v>0</v>
      </c>
      <c r="G213" s="6">
        <f t="shared" si="3"/>
        <v>0</v>
      </c>
      <c r="H213" s="92"/>
      <c r="I213" s="8"/>
    </row>
    <row r="214" spans="1:9">
      <c r="A214" s="7">
        <v>46235</v>
      </c>
      <c r="B214" s="5" t="s">
        <v>100</v>
      </c>
      <c r="C214" s="5">
        <v>0</v>
      </c>
      <c r="D214" s="5">
        <v>0</v>
      </c>
      <c r="E214" s="5">
        <v>0</v>
      </c>
      <c r="F214" s="5">
        <v>0</v>
      </c>
      <c r="G214" s="6">
        <f t="shared" si="3"/>
        <v>0</v>
      </c>
      <c r="H214" s="92"/>
      <c r="I214" s="8"/>
    </row>
    <row r="215" spans="1:9">
      <c r="A215" s="7">
        <v>46236</v>
      </c>
      <c r="B215" s="5" t="s">
        <v>100</v>
      </c>
      <c r="C215" s="5">
        <v>0</v>
      </c>
      <c r="D215" s="5">
        <v>0</v>
      </c>
      <c r="E215" s="5">
        <v>0</v>
      </c>
      <c r="F215" s="5">
        <v>0</v>
      </c>
      <c r="G215" s="6">
        <f t="shared" si="3"/>
        <v>0</v>
      </c>
      <c r="H215" s="93"/>
      <c r="I215" s="8"/>
    </row>
    <row r="216" spans="1:9">
      <c r="A216" s="7">
        <v>46237</v>
      </c>
      <c r="B216" s="5" t="s">
        <v>100</v>
      </c>
      <c r="C216" s="5">
        <v>0</v>
      </c>
      <c r="D216" s="5">
        <v>0</v>
      </c>
      <c r="E216" s="5">
        <v>0</v>
      </c>
      <c r="F216" s="5">
        <v>0</v>
      </c>
      <c r="G216" s="6">
        <f t="shared" si="3"/>
        <v>0</v>
      </c>
      <c r="H216" s="91">
        <f>SUM(G216:G222)</f>
        <v>0</v>
      </c>
      <c r="I216" s="8"/>
    </row>
    <row r="217" spans="1:9">
      <c r="A217" s="7">
        <v>46238</v>
      </c>
      <c r="B217" s="5" t="s">
        <v>100</v>
      </c>
      <c r="C217" s="5">
        <v>0</v>
      </c>
      <c r="D217" s="5">
        <v>0</v>
      </c>
      <c r="E217" s="5">
        <v>0</v>
      </c>
      <c r="F217" s="5">
        <v>0</v>
      </c>
      <c r="G217" s="6">
        <f t="shared" si="3"/>
        <v>0</v>
      </c>
      <c r="H217" s="92"/>
      <c r="I217" s="8"/>
    </row>
    <row r="218" spans="1:9">
      <c r="A218" s="7">
        <v>46239</v>
      </c>
      <c r="B218" s="5" t="s">
        <v>100</v>
      </c>
      <c r="C218" s="5">
        <v>0</v>
      </c>
      <c r="D218" s="5">
        <v>0</v>
      </c>
      <c r="E218" s="5">
        <v>0</v>
      </c>
      <c r="F218" s="5">
        <v>0</v>
      </c>
      <c r="G218" s="6">
        <f t="shared" si="3"/>
        <v>0</v>
      </c>
      <c r="H218" s="92"/>
      <c r="I218" s="8"/>
    </row>
    <row r="219" spans="1:9">
      <c r="A219" s="7">
        <v>46240</v>
      </c>
      <c r="B219" s="5" t="s">
        <v>100</v>
      </c>
      <c r="C219" s="5">
        <v>0</v>
      </c>
      <c r="D219" s="5">
        <v>0</v>
      </c>
      <c r="E219" s="5">
        <v>0</v>
      </c>
      <c r="F219" s="5">
        <v>0</v>
      </c>
      <c r="G219" s="6">
        <f t="shared" si="3"/>
        <v>0</v>
      </c>
      <c r="H219" s="92"/>
      <c r="I219" s="8"/>
    </row>
    <row r="220" spans="1:9">
      <c r="A220" s="7">
        <v>46241</v>
      </c>
      <c r="B220" s="5" t="s">
        <v>100</v>
      </c>
      <c r="C220" s="5">
        <v>0</v>
      </c>
      <c r="D220" s="5">
        <v>0</v>
      </c>
      <c r="E220" s="5">
        <v>0</v>
      </c>
      <c r="F220" s="5">
        <v>0</v>
      </c>
      <c r="G220" s="6">
        <f t="shared" si="3"/>
        <v>0</v>
      </c>
      <c r="H220" s="92"/>
      <c r="I220" s="8"/>
    </row>
    <row r="221" spans="1:9">
      <c r="A221" s="7">
        <v>46242</v>
      </c>
      <c r="B221" s="5" t="s">
        <v>100</v>
      </c>
      <c r="C221" s="5">
        <v>0</v>
      </c>
      <c r="D221" s="5">
        <v>0</v>
      </c>
      <c r="E221" s="5">
        <v>0</v>
      </c>
      <c r="F221" s="5">
        <v>0</v>
      </c>
      <c r="G221" s="6">
        <f t="shared" si="3"/>
        <v>0</v>
      </c>
      <c r="H221" s="92"/>
      <c r="I221" s="8"/>
    </row>
    <row r="222" spans="1:9">
      <c r="A222" s="7">
        <v>46243</v>
      </c>
      <c r="B222" s="5" t="s">
        <v>100</v>
      </c>
      <c r="C222" s="5">
        <v>0</v>
      </c>
      <c r="D222" s="5">
        <v>0</v>
      </c>
      <c r="E222" s="5">
        <v>0</v>
      </c>
      <c r="F222" s="5">
        <v>0</v>
      </c>
      <c r="G222" s="6">
        <f t="shared" si="3"/>
        <v>0</v>
      </c>
      <c r="H222" s="93"/>
      <c r="I222" s="8"/>
    </row>
    <row r="223" spans="1:9">
      <c r="A223" s="7">
        <v>46244</v>
      </c>
      <c r="B223" s="5" t="s">
        <v>100</v>
      </c>
      <c r="C223" s="5">
        <v>0</v>
      </c>
      <c r="D223" s="5">
        <v>0</v>
      </c>
      <c r="E223" s="5">
        <v>0</v>
      </c>
      <c r="F223" s="5">
        <v>0</v>
      </c>
      <c r="G223" s="6">
        <f t="shared" si="3"/>
        <v>0</v>
      </c>
      <c r="H223" s="91">
        <f>SUM(G223:G229)</f>
        <v>0</v>
      </c>
      <c r="I223" s="8"/>
    </row>
    <row r="224" spans="1:9">
      <c r="A224" s="7">
        <v>46245</v>
      </c>
      <c r="B224" s="5" t="s">
        <v>100</v>
      </c>
      <c r="C224" s="5">
        <v>0</v>
      </c>
      <c r="D224" s="5">
        <v>0</v>
      </c>
      <c r="E224" s="5">
        <v>0</v>
      </c>
      <c r="F224" s="5">
        <v>0</v>
      </c>
      <c r="G224" s="6">
        <f t="shared" si="3"/>
        <v>0</v>
      </c>
      <c r="H224" s="92"/>
      <c r="I224" s="8"/>
    </row>
    <row r="225" spans="1:9">
      <c r="A225" s="7">
        <v>46246</v>
      </c>
      <c r="B225" s="5" t="s">
        <v>100</v>
      </c>
      <c r="C225" s="5">
        <v>0</v>
      </c>
      <c r="D225" s="5">
        <v>0</v>
      </c>
      <c r="E225" s="5">
        <v>0</v>
      </c>
      <c r="F225" s="5">
        <v>0</v>
      </c>
      <c r="G225" s="6">
        <f t="shared" si="3"/>
        <v>0</v>
      </c>
      <c r="H225" s="92"/>
      <c r="I225" s="8"/>
    </row>
    <row r="226" spans="1:9">
      <c r="A226" s="7">
        <v>46247</v>
      </c>
      <c r="B226" s="5" t="s">
        <v>100</v>
      </c>
      <c r="C226" s="5">
        <v>0</v>
      </c>
      <c r="D226" s="5">
        <v>0</v>
      </c>
      <c r="E226" s="5">
        <v>0</v>
      </c>
      <c r="F226" s="5">
        <v>0</v>
      </c>
      <c r="G226" s="6">
        <f t="shared" si="3"/>
        <v>0</v>
      </c>
      <c r="H226" s="92"/>
      <c r="I226" s="8"/>
    </row>
    <row r="227" spans="1:9">
      <c r="A227" s="7">
        <v>46248</v>
      </c>
      <c r="B227" s="5" t="s">
        <v>100</v>
      </c>
      <c r="C227" s="5">
        <v>0</v>
      </c>
      <c r="D227" s="5">
        <v>0</v>
      </c>
      <c r="E227" s="5">
        <v>0</v>
      </c>
      <c r="F227" s="5">
        <v>0</v>
      </c>
      <c r="G227" s="6">
        <f t="shared" si="3"/>
        <v>0</v>
      </c>
      <c r="H227" s="92"/>
      <c r="I227" s="8"/>
    </row>
    <row r="228" spans="1:9">
      <c r="A228" s="7">
        <v>46249</v>
      </c>
      <c r="B228" s="5" t="s">
        <v>100</v>
      </c>
      <c r="C228" s="5">
        <v>0</v>
      </c>
      <c r="D228" s="5">
        <v>0</v>
      </c>
      <c r="E228" s="5">
        <v>0</v>
      </c>
      <c r="F228" s="5">
        <v>0</v>
      </c>
      <c r="G228" s="6">
        <f t="shared" si="3"/>
        <v>0</v>
      </c>
      <c r="H228" s="92"/>
      <c r="I228" s="8"/>
    </row>
    <row r="229" spans="1:9">
      <c r="A229" s="7">
        <v>46250</v>
      </c>
      <c r="B229" s="5" t="s">
        <v>100</v>
      </c>
      <c r="C229" s="5">
        <v>0</v>
      </c>
      <c r="D229" s="5">
        <v>0</v>
      </c>
      <c r="E229" s="5">
        <v>0</v>
      </c>
      <c r="F229" s="5">
        <v>0</v>
      </c>
      <c r="G229" s="6">
        <f t="shared" si="3"/>
        <v>0</v>
      </c>
      <c r="H229" s="93"/>
      <c r="I229" s="8"/>
    </row>
    <row r="230" spans="1:9">
      <c r="A230" s="7">
        <v>46251</v>
      </c>
      <c r="B230" s="5" t="s">
        <v>100</v>
      </c>
      <c r="C230" s="5">
        <v>0</v>
      </c>
      <c r="D230" s="5">
        <v>0</v>
      </c>
      <c r="E230" s="5">
        <v>0</v>
      </c>
      <c r="F230" s="5">
        <v>0</v>
      </c>
      <c r="G230" s="6">
        <f t="shared" si="3"/>
        <v>0</v>
      </c>
      <c r="H230" s="91">
        <f>SUM(G230:G236)</f>
        <v>0</v>
      </c>
      <c r="I230" s="8"/>
    </row>
    <row r="231" spans="1:9">
      <c r="A231" s="7">
        <v>46252</v>
      </c>
      <c r="B231" s="5" t="s">
        <v>100</v>
      </c>
      <c r="C231" s="5">
        <v>0</v>
      </c>
      <c r="D231" s="5">
        <v>0</v>
      </c>
      <c r="E231" s="5">
        <v>0</v>
      </c>
      <c r="F231" s="5">
        <v>0</v>
      </c>
      <c r="G231" s="6">
        <f t="shared" si="3"/>
        <v>0</v>
      </c>
      <c r="H231" s="92"/>
      <c r="I231" s="8"/>
    </row>
    <row r="232" spans="1:9">
      <c r="A232" s="7">
        <v>46253</v>
      </c>
      <c r="B232" s="5" t="s">
        <v>100</v>
      </c>
      <c r="C232" s="5">
        <v>0</v>
      </c>
      <c r="D232" s="5">
        <v>0</v>
      </c>
      <c r="E232" s="5">
        <v>0</v>
      </c>
      <c r="F232" s="5">
        <v>0</v>
      </c>
      <c r="G232" s="6">
        <f t="shared" si="3"/>
        <v>0</v>
      </c>
      <c r="H232" s="92"/>
      <c r="I232" s="8"/>
    </row>
    <row r="233" spans="1:9">
      <c r="A233" s="7">
        <v>46254</v>
      </c>
      <c r="B233" s="5" t="s">
        <v>100</v>
      </c>
      <c r="C233" s="5">
        <v>0</v>
      </c>
      <c r="D233" s="5">
        <v>0</v>
      </c>
      <c r="E233" s="5">
        <v>0</v>
      </c>
      <c r="F233" s="5">
        <v>0</v>
      </c>
      <c r="G233" s="6">
        <f t="shared" si="3"/>
        <v>0</v>
      </c>
      <c r="H233" s="92"/>
      <c r="I233" s="8"/>
    </row>
    <row r="234" spans="1:9">
      <c r="A234" s="7">
        <v>46255</v>
      </c>
      <c r="B234" s="5" t="s">
        <v>100</v>
      </c>
      <c r="C234" s="5">
        <v>0</v>
      </c>
      <c r="D234" s="5">
        <v>0</v>
      </c>
      <c r="E234" s="5">
        <v>0</v>
      </c>
      <c r="F234" s="5">
        <v>0</v>
      </c>
      <c r="G234" s="6">
        <f t="shared" si="3"/>
        <v>0</v>
      </c>
      <c r="H234" s="92"/>
      <c r="I234" s="8"/>
    </row>
    <row r="235" spans="1:9">
      <c r="A235" s="7">
        <v>46256</v>
      </c>
      <c r="B235" s="5" t="s">
        <v>100</v>
      </c>
      <c r="C235" s="5">
        <v>0</v>
      </c>
      <c r="D235" s="5">
        <v>0</v>
      </c>
      <c r="E235" s="5">
        <v>0</v>
      </c>
      <c r="F235" s="5">
        <v>0</v>
      </c>
      <c r="G235" s="6">
        <f t="shared" si="3"/>
        <v>0</v>
      </c>
      <c r="H235" s="92"/>
      <c r="I235" s="8"/>
    </row>
    <row r="236" spans="1:9">
      <c r="A236" s="7">
        <v>46257</v>
      </c>
      <c r="B236" s="5" t="s">
        <v>100</v>
      </c>
      <c r="C236" s="5">
        <v>0</v>
      </c>
      <c r="D236" s="5">
        <v>0</v>
      </c>
      <c r="E236" s="5">
        <v>0</v>
      </c>
      <c r="F236" s="5">
        <v>0</v>
      </c>
      <c r="G236" s="6">
        <f t="shared" si="3"/>
        <v>0</v>
      </c>
      <c r="H236" s="93"/>
      <c r="I236" s="8"/>
    </row>
    <row r="237" spans="1:9">
      <c r="A237" s="7">
        <v>46258</v>
      </c>
      <c r="B237" s="5" t="s">
        <v>100</v>
      </c>
      <c r="C237" s="5">
        <v>0</v>
      </c>
      <c r="D237" s="5">
        <v>0</v>
      </c>
      <c r="E237" s="5">
        <v>0</v>
      </c>
      <c r="F237" s="5">
        <v>0</v>
      </c>
      <c r="G237" s="6">
        <f t="shared" si="3"/>
        <v>0</v>
      </c>
      <c r="H237" s="91">
        <f>SUM(G237:G243)</f>
        <v>0</v>
      </c>
      <c r="I237" s="8"/>
    </row>
    <row r="238" spans="1:9">
      <c r="A238" s="7">
        <v>46259</v>
      </c>
      <c r="B238" s="5" t="s">
        <v>100</v>
      </c>
      <c r="C238" s="5">
        <v>0</v>
      </c>
      <c r="D238" s="5">
        <v>0</v>
      </c>
      <c r="E238" s="5">
        <v>0</v>
      </c>
      <c r="F238" s="5">
        <v>0</v>
      </c>
      <c r="G238" s="6">
        <f t="shared" si="3"/>
        <v>0</v>
      </c>
      <c r="H238" s="92"/>
      <c r="I238" s="8"/>
    </row>
    <row r="239" spans="1:9">
      <c r="A239" s="7">
        <v>46260</v>
      </c>
      <c r="B239" s="5" t="s">
        <v>100</v>
      </c>
      <c r="C239" s="5">
        <v>0</v>
      </c>
      <c r="D239" s="5">
        <v>0</v>
      </c>
      <c r="E239" s="5">
        <v>0</v>
      </c>
      <c r="F239" s="5">
        <v>0</v>
      </c>
      <c r="G239" s="6">
        <f t="shared" si="3"/>
        <v>0</v>
      </c>
      <c r="H239" s="92"/>
      <c r="I239" s="8"/>
    </row>
    <row r="240" spans="1:9">
      <c r="A240" s="7">
        <v>46261</v>
      </c>
      <c r="B240" s="5" t="s">
        <v>100</v>
      </c>
      <c r="C240" s="5">
        <v>0</v>
      </c>
      <c r="D240" s="5">
        <v>0</v>
      </c>
      <c r="E240" s="5">
        <v>0</v>
      </c>
      <c r="F240" s="5">
        <v>0</v>
      </c>
      <c r="G240" s="6">
        <f t="shared" si="3"/>
        <v>0</v>
      </c>
      <c r="H240" s="92"/>
      <c r="I240" s="8"/>
    </row>
    <row r="241" spans="1:9">
      <c r="A241" s="7">
        <v>46262</v>
      </c>
      <c r="B241" s="5" t="s">
        <v>100</v>
      </c>
      <c r="C241" s="5">
        <v>0</v>
      </c>
      <c r="D241" s="5">
        <v>0</v>
      </c>
      <c r="E241" s="5">
        <v>0</v>
      </c>
      <c r="F241" s="5">
        <v>0</v>
      </c>
      <c r="G241" s="6">
        <f t="shared" si="3"/>
        <v>0</v>
      </c>
      <c r="H241" s="92"/>
      <c r="I241" s="8"/>
    </row>
    <row r="242" spans="1:9">
      <c r="A242" s="7">
        <v>46263</v>
      </c>
      <c r="B242" s="5" t="s">
        <v>100</v>
      </c>
      <c r="C242" s="5">
        <v>0</v>
      </c>
      <c r="D242" s="5">
        <v>0</v>
      </c>
      <c r="E242" s="5">
        <v>0</v>
      </c>
      <c r="F242" s="5">
        <v>0</v>
      </c>
      <c r="G242" s="6">
        <f t="shared" si="3"/>
        <v>0</v>
      </c>
      <c r="H242" s="92"/>
      <c r="I242" s="8"/>
    </row>
    <row r="243" spans="1:9">
      <c r="A243" s="7">
        <v>46264</v>
      </c>
      <c r="B243" s="5" t="s">
        <v>100</v>
      </c>
      <c r="C243" s="5">
        <v>0</v>
      </c>
      <c r="D243" s="5">
        <v>0</v>
      </c>
      <c r="E243" s="5">
        <v>0</v>
      </c>
      <c r="F243" s="5">
        <v>0</v>
      </c>
      <c r="G243" s="6">
        <f t="shared" si="3"/>
        <v>0</v>
      </c>
      <c r="H243" s="93"/>
      <c r="I243" s="8"/>
    </row>
    <row r="244" spans="1:9">
      <c r="A244" s="7">
        <v>46265</v>
      </c>
      <c r="B244" s="5" t="s">
        <v>100</v>
      </c>
      <c r="C244" s="5">
        <v>0</v>
      </c>
      <c r="D244" s="5">
        <v>0</v>
      </c>
      <c r="E244" s="5">
        <v>0</v>
      </c>
      <c r="F244" s="5">
        <v>0</v>
      </c>
      <c r="G244" s="6">
        <f t="shared" si="3"/>
        <v>0</v>
      </c>
      <c r="H244" s="91">
        <f>SUM(G244:G250)</f>
        <v>0</v>
      </c>
      <c r="I244" s="8"/>
    </row>
    <row r="245" spans="1:9">
      <c r="A245" s="7">
        <v>46266</v>
      </c>
      <c r="B245" s="5" t="s">
        <v>100</v>
      </c>
      <c r="C245" s="5">
        <v>0</v>
      </c>
      <c r="D245" s="5">
        <v>0</v>
      </c>
      <c r="E245" s="5">
        <v>0</v>
      </c>
      <c r="F245" s="5">
        <v>0</v>
      </c>
      <c r="G245" s="6">
        <f t="shared" si="3"/>
        <v>0</v>
      </c>
      <c r="H245" s="92"/>
      <c r="I245" s="8"/>
    </row>
    <row r="246" spans="1:9">
      <c r="A246" s="7">
        <v>46267</v>
      </c>
      <c r="B246" s="5" t="s">
        <v>100</v>
      </c>
      <c r="C246" s="5">
        <v>0</v>
      </c>
      <c r="D246" s="5">
        <v>0</v>
      </c>
      <c r="E246" s="5">
        <v>0</v>
      </c>
      <c r="F246" s="5">
        <v>0</v>
      </c>
      <c r="G246" s="6">
        <f t="shared" si="3"/>
        <v>0</v>
      </c>
      <c r="H246" s="92"/>
      <c r="I246" s="8"/>
    </row>
    <row r="247" spans="1:9">
      <c r="A247" s="7">
        <v>46268</v>
      </c>
      <c r="B247" s="5" t="s">
        <v>100</v>
      </c>
      <c r="C247" s="5">
        <v>0</v>
      </c>
      <c r="D247" s="5">
        <v>0</v>
      </c>
      <c r="E247" s="5">
        <v>0</v>
      </c>
      <c r="F247" s="5">
        <v>0</v>
      </c>
      <c r="G247" s="6">
        <f t="shared" si="3"/>
        <v>0</v>
      </c>
      <c r="H247" s="92"/>
      <c r="I247" s="8"/>
    </row>
    <row r="248" spans="1:9">
      <c r="A248" s="7">
        <v>46269</v>
      </c>
      <c r="B248" s="5" t="s">
        <v>100</v>
      </c>
      <c r="C248" s="5">
        <v>0</v>
      </c>
      <c r="D248" s="5">
        <v>0</v>
      </c>
      <c r="E248" s="5">
        <v>0</v>
      </c>
      <c r="F248" s="5">
        <v>0</v>
      </c>
      <c r="G248" s="6">
        <f t="shared" si="3"/>
        <v>0</v>
      </c>
      <c r="H248" s="92"/>
      <c r="I248" s="8"/>
    </row>
    <row r="249" spans="1:9">
      <c r="A249" s="7">
        <v>46270</v>
      </c>
      <c r="B249" s="5" t="s">
        <v>100</v>
      </c>
      <c r="C249" s="5">
        <v>0</v>
      </c>
      <c r="D249" s="5">
        <v>0</v>
      </c>
      <c r="E249" s="5">
        <v>0</v>
      </c>
      <c r="F249" s="5">
        <v>0</v>
      </c>
      <c r="G249" s="6">
        <f t="shared" si="3"/>
        <v>0</v>
      </c>
      <c r="H249" s="92"/>
      <c r="I249" s="8"/>
    </row>
    <row r="250" spans="1:9">
      <c r="A250" s="7">
        <v>46271</v>
      </c>
      <c r="B250" s="5" t="s">
        <v>100</v>
      </c>
      <c r="C250" s="5">
        <v>0</v>
      </c>
      <c r="D250" s="5">
        <v>0</v>
      </c>
      <c r="E250" s="5">
        <v>0</v>
      </c>
      <c r="F250" s="5">
        <v>0</v>
      </c>
      <c r="G250" s="6">
        <f t="shared" si="3"/>
        <v>0</v>
      </c>
      <c r="H250" s="93"/>
      <c r="I250" s="8"/>
    </row>
    <row r="251" spans="1:9">
      <c r="A251" s="7">
        <v>46272</v>
      </c>
      <c r="B251" s="5" t="s">
        <v>100</v>
      </c>
      <c r="C251" s="5">
        <v>0</v>
      </c>
      <c r="D251" s="5">
        <v>0</v>
      </c>
      <c r="E251" s="5">
        <v>0</v>
      </c>
      <c r="F251" s="5">
        <v>0</v>
      </c>
      <c r="G251" s="6">
        <f t="shared" si="3"/>
        <v>0</v>
      </c>
      <c r="H251" s="91">
        <f>SUM(G251:G257)</f>
        <v>0</v>
      </c>
      <c r="I251" s="8"/>
    </row>
    <row r="252" spans="1:9">
      <c r="A252" s="7">
        <v>46273</v>
      </c>
      <c r="B252" s="5" t="s">
        <v>100</v>
      </c>
      <c r="C252" s="5">
        <v>0</v>
      </c>
      <c r="D252" s="5">
        <v>0</v>
      </c>
      <c r="E252" s="5">
        <v>0</v>
      </c>
      <c r="F252" s="5">
        <v>0</v>
      </c>
      <c r="G252" s="6">
        <f t="shared" si="3"/>
        <v>0</v>
      </c>
      <c r="H252" s="92"/>
      <c r="I252" s="8"/>
    </row>
    <row r="253" spans="1:9">
      <c r="A253" s="7">
        <v>46274</v>
      </c>
      <c r="B253" s="5" t="s">
        <v>100</v>
      </c>
      <c r="C253" s="5">
        <v>0</v>
      </c>
      <c r="D253" s="5">
        <v>0</v>
      </c>
      <c r="E253" s="5">
        <v>0</v>
      </c>
      <c r="F253" s="5">
        <v>0</v>
      </c>
      <c r="G253" s="6">
        <f t="shared" si="3"/>
        <v>0</v>
      </c>
      <c r="H253" s="92"/>
      <c r="I253" s="8"/>
    </row>
    <row r="254" spans="1:9">
      <c r="A254" s="7">
        <v>46275</v>
      </c>
      <c r="B254" s="5" t="s">
        <v>100</v>
      </c>
      <c r="C254" s="5">
        <v>0</v>
      </c>
      <c r="D254" s="5">
        <v>0</v>
      </c>
      <c r="E254" s="5">
        <v>0</v>
      </c>
      <c r="F254" s="5">
        <v>0</v>
      </c>
      <c r="G254" s="6">
        <f t="shared" si="3"/>
        <v>0</v>
      </c>
      <c r="H254" s="92"/>
      <c r="I254" s="8"/>
    </row>
    <row r="255" spans="1:9">
      <c r="A255" s="7">
        <v>46276</v>
      </c>
      <c r="B255" s="5" t="s">
        <v>100</v>
      </c>
      <c r="C255" s="5">
        <v>0</v>
      </c>
      <c r="D255" s="5">
        <v>0</v>
      </c>
      <c r="E255" s="5">
        <v>0</v>
      </c>
      <c r="F255" s="5">
        <v>0</v>
      </c>
      <c r="G255" s="6">
        <f t="shared" si="3"/>
        <v>0</v>
      </c>
      <c r="H255" s="92"/>
      <c r="I255" s="8"/>
    </row>
    <row r="256" spans="1:9">
      <c r="A256" s="7">
        <v>46277</v>
      </c>
      <c r="B256" s="5" t="s">
        <v>100</v>
      </c>
      <c r="C256" s="5">
        <v>0</v>
      </c>
      <c r="D256" s="5">
        <v>0</v>
      </c>
      <c r="E256" s="5">
        <v>0</v>
      </c>
      <c r="F256" s="5">
        <v>0</v>
      </c>
      <c r="G256" s="6">
        <f t="shared" si="3"/>
        <v>0</v>
      </c>
      <c r="H256" s="92"/>
      <c r="I256" s="8"/>
    </row>
    <row r="257" spans="1:9">
      <c r="A257" s="7">
        <v>46278</v>
      </c>
      <c r="B257" s="5" t="s">
        <v>100</v>
      </c>
      <c r="C257" s="5">
        <v>0</v>
      </c>
      <c r="D257" s="5">
        <v>0</v>
      </c>
      <c r="E257" s="5">
        <v>0</v>
      </c>
      <c r="F257" s="5">
        <v>0</v>
      </c>
      <c r="G257" s="6">
        <f t="shared" si="3"/>
        <v>0</v>
      </c>
      <c r="H257" s="93"/>
      <c r="I257" s="8"/>
    </row>
    <row r="258" spans="1:9">
      <c r="A258" s="7">
        <v>46279</v>
      </c>
      <c r="B258" s="5" t="s">
        <v>100</v>
      </c>
      <c r="C258" s="5">
        <v>0</v>
      </c>
      <c r="D258" s="5">
        <v>0</v>
      </c>
      <c r="E258" s="5">
        <v>0</v>
      </c>
      <c r="F258" s="5">
        <v>0</v>
      </c>
      <c r="G258" s="6">
        <f t="shared" si="3"/>
        <v>0</v>
      </c>
      <c r="H258" s="91">
        <f>SUM(G258:G264)</f>
        <v>0</v>
      </c>
      <c r="I258" s="8"/>
    </row>
    <row r="259" spans="1:9">
      <c r="A259" s="7">
        <v>46280</v>
      </c>
      <c r="B259" s="5" t="s">
        <v>100</v>
      </c>
      <c r="C259" s="5">
        <v>0</v>
      </c>
      <c r="D259" s="5">
        <v>0</v>
      </c>
      <c r="E259" s="5">
        <v>0</v>
      </c>
      <c r="F259" s="5">
        <v>0</v>
      </c>
      <c r="G259" s="6">
        <f t="shared" ref="G259:G322" si="4">SUM(C259,E259,F259-D259)</f>
        <v>0</v>
      </c>
      <c r="H259" s="92"/>
      <c r="I259" s="8"/>
    </row>
    <row r="260" spans="1:9">
      <c r="A260" s="7">
        <v>46281</v>
      </c>
      <c r="B260" s="5" t="s">
        <v>100</v>
      </c>
      <c r="C260" s="5">
        <v>0</v>
      </c>
      <c r="D260" s="5">
        <v>0</v>
      </c>
      <c r="E260" s="5">
        <v>0</v>
      </c>
      <c r="F260" s="5">
        <v>0</v>
      </c>
      <c r="G260" s="6">
        <f t="shared" si="4"/>
        <v>0</v>
      </c>
      <c r="H260" s="92"/>
      <c r="I260" s="8"/>
    </row>
    <row r="261" spans="1:9">
      <c r="A261" s="7">
        <v>46282</v>
      </c>
      <c r="B261" s="5" t="s">
        <v>100</v>
      </c>
      <c r="C261" s="5">
        <v>0</v>
      </c>
      <c r="D261" s="5">
        <v>0</v>
      </c>
      <c r="E261" s="5">
        <v>0</v>
      </c>
      <c r="F261" s="5">
        <v>0</v>
      </c>
      <c r="G261" s="6">
        <f t="shared" si="4"/>
        <v>0</v>
      </c>
      <c r="H261" s="92"/>
      <c r="I261" s="8"/>
    </row>
    <row r="262" spans="1:9">
      <c r="A262" s="7">
        <v>46283</v>
      </c>
      <c r="B262" s="5" t="s">
        <v>100</v>
      </c>
      <c r="C262" s="5">
        <v>0</v>
      </c>
      <c r="D262" s="5">
        <v>0</v>
      </c>
      <c r="E262" s="5">
        <v>0</v>
      </c>
      <c r="F262" s="5">
        <v>0</v>
      </c>
      <c r="G262" s="6">
        <f t="shared" si="4"/>
        <v>0</v>
      </c>
      <c r="H262" s="92"/>
      <c r="I262" s="8"/>
    </row>
    <row r="263" spans="1:9">
      <c r="A263" s="7">
        <v>46284</v>
      </c>
      <c r="B263" s="5" t="s">
        <v>100</v>
      </c>
      <c r="C263" s="5">
        <v>0</v>
      </c>
      <c r="D263" s="5">
        <v>0</v>
      </c>
      <c r="E263" s="5">
        <v>0</v>
      </c>
      <c r="F263" s="5">
        <v>0</v>
      </c>
      <c r="G263" s="6">
        <f t="shared" si="4"/>
        <v>0</v>
      </c>
      <c r="H263" s="92"/>
      <c r="I263" s="8"/>
    </row>
    <row r="264" spans="1:9">
      <c r="A264" s="7">
        <v>46285</v>
      </c>
      <c r="B264" s="5" t="s">
        <v>100</v>
      </c>
      <c r="C264" s="5">
        <v>0</v>
      </c>
      <c r="D264" s="5">
        <v>0</v>
      </c>
      <c r="E264" s="5">
        <v>0</v>
      </c>
      <c r="F264" s="5">
        <v>0</v>
      </c>
      <c r="G264" s="6">
        <f t="shared" si="4"/>
        <v>0</v>
      </c>
      <c r="H264" s="93"/>
      <c r="I264" s="8"/>
    </row>
    <row r="265" spans="1:9">
      <c r="A265" s="7">
        <v>46286</v>
      </c>
      <c r="B265" s="5" t="s">
        <v>100</v>
      </c>
      <c r="C265" s="5">
        <v>0</v>
      </c>
      <c r="D265" s="5">
        <v>0</v>
      </c>
      <c r="E265" s="5">
        <v>0</v>
      </c>
      <c r="F265" s="5">
        <v>0</v>
      </c>
      <c r="G265" s="6">
        <f t="shared" si="4"/>
        <v>0</v>
      </c>
      <c r="H265" s="91">
        <f>SUM(G265:G271)</f>
        <v>0</v>
      </c>
      <c r="I265" s="8"/>
    </row>
    <row r="266" spans="1:9">
      <c r="A266" s="7">
        <v>46287</v>
      </c>
      <c r="B266" s="5" t="s">
        <v>100</v>
      </c>
      <c r="C266" s="5">
        <v>0</v>
      </c>
      <c r="D266" s="5">
        <v>0</v>
      </c>
      <c r="E266" s="5">
        <v>0</v>
      </c>
      <c r="F266" s="5">
        <v>0</v>
      </c>
      <c r="G266" s="6">
        <f t="shared" si="4"/>
        <v>0</v>
      </c>
      <c r="H266" s="92"/>
      <c r="I266" s="8"/>
    </row>
    <row r="267" spans="1:9">
      <c r="A267" s="7">
        <v>46288</v>
      </c>
      <c r="B267" s="5" t="s">
        <v>100</v>
      </c>
      <c r="C267" s="5">
        <v>0</v>
      </c>
      <c r="D267" s="5">
        <v>0</v>
      </c>
      <c r="E267" s="5">
        <v>0</v>
      </c>
      <c r="F267" s="5">
        <v>0</v>
      </c>
      <c r="G267" s="6">
        <f t="shared" si="4"/>
        <v>0</v>
      </c>
      <c r="H267" s="92"/>
      <c r="I267" s="8"/>
    </row>
    <row r="268" spans="1:9">
      <c r="A268" s="7">
        <v>46289</v>
      </c>
      <c r="B268" s="5" t="s">
        <v>100</v>
      </c>
      <c r="C268" s="5">
        <v>0</v>
      </c>
      <c r="D268" s="5">
        <v>0</v>
      </c>
      <c r="E268" s="5">
        <v>0</v>
      </c>
      <c r="F268" s="5">
        <v>0</v>
      </c>
      <c r="G268" s="6">
        <f t="shared" si="4"/>
        <v>0</v>
      </c>
      <c r="H268" s="92"/>
      <c r="I268" s="8"/>
    </row>
    <row r="269" spans="1:9">
      <c r="A269" s="7">
        <v>46290</v>
      </c>
      <c r="B269" s="5" t="s">
        <v>100</v>
      </c>
      <c r="C269" s="5">
        <v>0</v>
      </c>
      <c r="D269" s="5">
        <v>0</v>
      </c>
      <c r="E269" s="5">
        <v>0</v>
      </c>
      <c r="F269" s="5">
        <v>0</v>
      </c>
      <c r="G269" s="6">
        <f t="shared" si="4"/>
        <v>0</v>
      </c>
      <c r="H269" s="92"/>
      <c r="I269" s="8"/>
    </row>
    <row r="270" spans="1:9">
      <c r="A270" s="7">
        <v>46291</v>
      </c>
      <c r="B270" s="5" t="s">
        <v>100</v>
      </c>
      <c r="C270" s="5">
        <v>0</v>
      </c>
      <c r="D270" s="5">
        <v>0</v>
      </c>
      <c r="E270" s="5">
        <v>0</v>
      </c>
      <c r="F270" s="5">
        <v>0</v>
      </c>
      <c r="G270" s="6">
        <f t="shared" si="4"/>
        <v>0</v>
      </c>
      <c r="H270" s="92"/>
      <c r="I270" s="8"/>
    </row>
    <row r="271" spans="1:9">
      <c r="A271" s="7">
        <v>46292</v>
      </c>
      <c r="B271" s="5" t="s">
        <v>100</v>
      </c>
      <c r="C271" s="5">
        <v>0</v>
      </c>
      <c r="D271" s="5">
        <v>0</v>
      </c>
      <c r="E271" s="5">
        <v>0</v>
      </c>
      <c r="F271" s="5">
        <v>0</v>
      </c>
      <c r="G271" s="6">
        <f t="shared" si="4"/>
        <v>0</v>
      </c>
      <c r="H271" s="93"/>
      <c r="I271" s="8"/>
    </row>
    <row r="272" spans="1:9">
      <c r="A272" s="7">
        <v>46293</v>
      </c>
      <c r="B272" s="5" t="s">
        <v>100</v>
      </c>
      <c r="C272" s="5">
        <v>0</v>
      </c>
      <c r="D272" s="5">
        <v>0</v>
      </c>
      <c r="E272" s="5">
        <v>0</v>
      </c>
      <c r="F272" s="5">
        <v>0</v>
      </c>
      <c r="G272" s="6">
        <f t="shared" si="4"/>
        <v>0</v>
      </c>
      <c r="H272" s="91">
        <f>SUM(G272:G278)</f>
        <v>0</v>
      </c>
      <c r="I272" s="8"/>
    </row>
    <row r="273" spans="1:9">
      <c r="A273" s="7">
        <v>46294</v>
      </c>
      <c r="B273" s="5" t="s">
        <v>100</v>
      </c>
      <c r="C273" s="5">
        <v>0</v>
      </c>
      <c r="D273" s="5">
        <v>0</v>
      </c>
      <c r="E273" s="5">
        <v>0</v>
      </c>
      <c r="F273" s="5">
        <v>0</v>
      </c>
      <c r="G273" s="6">
        <f t="shared" si="4"/>
        <v>0</v>
      </c>
      <c r="H273" s="92"/>
      <c r="I273" s="8"/>
    </row>
    <row r="274" spans="1:9">
      <c r="A274" s="7">
        <v>46295</v>
      </c>
      <c r="B274" s="5" t="s">
        <v>100</v>
      </c>
      <c r="C274" s="5">
        <v>0</v>
      </c>
      <c r="D274" s="5">
        <v>0</v>
      </c>
      <c r="E274" s="5">
        <v>0</v>
      </c>
      <c r="F274" s="5">
        <v>0</v>
      </c>
      <c r="G274" s="6">
        <f t="shared" si="4"/>
        <v>0</v>
      </c>
      <c r="H274" s="92"/>
      <c r="I274" s="8"/>
    </row>
    <row r="275" spans="1:9">
      <c r="A275" s="7">
        <v>46296</v>
      </c>
      <c r="B275" s="5" t="s">
        <v>100</v>
      </c>
      <c r="C275" s="5">
        <v>0</v>
      </c>
      <c r="D275" s="5">
        <v>0</v>
      </c>
      <c r="E275" s="5">
        <v>0</v>
      </c>
      <c r="F275" s="5">
        <v>0</v>
      </c>
      <c r="G275" s="6">
        <f t="shared" si="4"/>
        <v>0</v>
      </c>
      <c r="H275" s="92"/>
      <c r="I275" s="8"/>
    </row>
    <row r="276" spans="1:9">
      <c r="A276" s="7">
        <v>46297</v>
      </c>
      <c r="B276" s="5" t="s">
        <v>100</v>
      </c>
      <c r="C276" s="5">
        <v>0</v>
      </c>
      <c r="D276" s="5">
        <v>0</v>
      </c>
      <c r="E276" s="5">
        <v>0</v>
      </c>
      <c r="F276" s="5">
        <v>0</v>
      </c>
      <c r="G276" s="6">
        <f t="shared" si="4"/>
        <v>0</v>
      </c>
      <c r="H276" s="92"/>
      <c r="I276" s="8"/>
    </row>
    <row r="277" spans="1:9">
      <c r="A277" s="7">
        <v>46298</v>
      </c>
      <c r="B277" s="5" t="s">
        <v>100</v>
      </c>
      <c r="C277" s="5">
        <v>0</v>
      </c>
      <c r="D277" s="5">
        <v>0</v>
      </c>
      <c r="E277" s="5">
        <v>0</v>
      </c>
      <c r="F277" s="5">
        <v>0</v>
      </c>
      <c r="G277" s="6">
        <f t="shared" si="4"/>
        <v>0</v>
      </c>
      <c r="H277" s="92"/>
      <c r="I277" s="8"/>
    </row>
    <row r="278" spans="1:9">
      <c r="A278" s="7">
        <v>46299</v>
      </c>
      <c r="B278" s="5" t="s">
        <v>100</v>
      </c>
      <c r="C278" s="5">
        <v>0</v>
      </c>
      <c r="D278" s="5">
        <v>0</v>
      </c>
      <c r="E278" s="5">
        <v>0</v>
      </c>
      <c r="F278" s="5">
        <v>0</v>
      </c>
      <c r="G278" s="6">
        <f t="shared" si="4"/>
        <v>0</v>
      </c>
      <c r="H278" s="93"/>
      <c r="I278" s="8"/>
    </row>
    <row r="279" spans="1:9">
      <c r="A279" s="7">
        <v>46300</v>
      </c>
      <c r="B279" s="5" t="s">
        <v>100</v>
      </c>
      <c r="C279" s="5">
        <v>0</v>
      </c>
      <c r="D279" s="5">
        <v>0</v>
      </c>
      <c r="E279" s="5">
        <v>0</v>
      </c>
      <c r="F279" s="5">
        <v>0</v>
      </c>
      <c r="G279" s="6">
        <f t="shared" si="4"/>
        <v>0</v>
      </c>
      <c r="H279" s="91">
        <f>SUM(G279:G285)</f>
        <v>0</v>
      </c>
      <c r="I279" s="8"/>
    </row>
    <row r="280" spans="1:9">
      <c r="A280" s="7">
        <v>46301</v>
      </c>
      <c r="B280" s="5" t="s">
        <v>100</v>
      </c>
      <c r="C280" s="5">
        <v>0</v>
      </c>
      <c r="D280" s="5">
        <v>0</v>
      </c>
      <c r="E280" s="5">
        <v>0</v>
      </c>
      <c r="F280" s="5">
        <v>0</v>
      </c>
      <c r="G280" s="6">
        <f t="shared" si="4"/>
        <v>0</v>
      </c>
      <c r="H280" s="92"/>
      <c r="I280" s="8"/>
    </row>
    <row r="281" spans="1:9">
      <c r="A281" s="7">
        <v>46302</v>
      </c>
      <c r="B281" s="5" t="s">
        <v>100</v>
      </c>
      <c r="C281" s="5">
        <v>0</v>
      </c>
      <c r="D281" s="5">
        <v>0</v>
      </c>
      <c r="E281" s="5">
        <v>0</v>
      </c>
      <c r="F281" s="5">
        <v>0</v>
      </c>
      <c r="G281" s="6">
        <f t="shared" si="4"/>
        <v>0</v>
      </c>
      <c r="H281" s="92"/>
      <c r="I281" s="8"/>
    </row>
    <row r="282" spans="1:9">
      <c r="A282" s="7">
        <v>46303</v>
      </c>
      <c r="B282" s="5" t="s">
        <v>100</v>
      </c>
      <c r="C282" s="5">
        <v>0</v>
      </c>
      <c r="D282" s="5">
        <v>0</v>
      </c>
      <c r="E282" s="5">
        <v>0</v>
      </c>
      <c r="F282" s="5">
        <v>0</v>
      </c>
      <c r="G282" s="6">
        <f t="shared" si="4"/>
        <v>0</v>
      </c>
      <c r="H282" s="92"/>
      <c r="I282" s="8"/>
    </row>
    <row r="283" spans="1:9">
      <c r="A283" s="7">
        <v>46304</v>
      </c>
      <c r="B283" s="5" t="s">
        <v>100</v>
      </c>
      <c r="C283" s="5">
        <v>0</v>
      </c>
      <c r="D283" s="5">
        <v>0</v>
      </c>
      <c r="E283" s="5">
        <v>0</v>
      </c>
      <c r="F283" s="5">
        <v>0</v>
      </c>
      <c r="G283" s="6">
        <f t="shared" si="4"/>
        <v>0</v>
      </c>
      <c r="H283" s="92"/>
      <c r="I283" s="8"/>
    </row>
    <row r="284" spans="1:9">
      <c r="A284" s="7">
        <v>46305</v>
      </c>
      <c r="B284" s="5" t="s">
        <v>100</v>
      </c>
      <c r="C284" s="5">
        <v>0</v>
      </c>
      <c r="D284" s="5">
        <v>0</v>
      </c>
      <c r="E284" s="5">
        <v>0</v>
      </c>
      <c r="F284" s="5">
        <v>0</v>
      </c>
      <c r="G284" s="6">
        <f t="shared" si="4"/>
        <v>0</v>
      </c>
      <c r="H284" s="92"/>
      <c r="I284" s="8"/>
    </row>
    <row r="285" spans="1:9">
      <c r="A285" s="7">
        <v>46306</v>
      </c>
      <c r="B285" s="5" t="s">
        <v>100</v>
      </c>
      <c r="C285" s="5">
        <v>0</v>
      </c>
      <c r="D285" s="5">
        <v>0</v>
      </c>
      <c r="E285" s="5">
        <v>0</v>
      </c>
      <c r="F285" s="5">
        <v>0</v>
      </c>
      <c r="G285" s="6">
        <f t="shared" si="4"/>
        <v>0</v>
      </c>
      <c r="H285" s="93"/>
      <c r="I285" s="8"/>
    </row>
    <row r="286" spans="1:9">
      <c r="A286" s="7">
        <v>46307</v>
      </c>
      <c r="B286" s="5" t="s">
        <v>100</v>
      </c>
      <c r="C286" s="5">
        <v>0</v>
      </c>
      <c r="D286" s="5">
        <v>0</v>
      </c>
      <c r="E286" s="5">
        <v>0</v>
      </c>
      <c r="F286" s="5">
        <v>0</v>
      </c>
      <c r="G286" s="6">
        <f t="shared" si="4"/>
        <v>0</v>
      </c>
      <c r="H286" s="91">
        <f>SUM(G286:G292)</f>
        <v>0</v>
      </c>
      <c r="I286" s="8"/>
    </row>
    <row r="287" spans="1:9">
      <c r="A287" s="7">
        <v>46308</v>
      </c>
      <c r="B287" s="5" t="s">
        <v>100</v>
      </c>
      <c r="C287" s="5">
        <v>0</v>
      </c>
      <c r="D287" s="5">
        <v>0</v>
      </c>
      <c r="E287" s="5">
        <v>0</v>
      </c>
      <c r="F287" s="5">
        <v>0</v>
      </c>
      <c r="G287" s="6">
        <f t="shared" si="4"/>
        <v>0</v>
      </c>
      <c r="H287" s="92"/>
      <c r="I287" s="8"/>
    </row>
    <row r="288" spans="1:9">
      <c r="A288" s="7">
        <v>46309</v>
      </c>
      <c r="B288" s="5" t="s">
        <v>100</v>
      </c>
      <c r="C288" s="5">
        <v>0</v>
      </c>
      <c r="D288" s="5">
        <v>0</v>
      </c>
      <c r="E288" s="5">
        <v>0</v>
      </c>
      <c r="F288" s="5">
        <v>0</v>
      </c>
      <c r="G288" s="6">
        <f t="shared" si="4"/>
        <v>0</v>
      </c>
      <c r="H288" s="92"/>
      <c r="I288" s="8"/>
    </row>
    <row r="289" spans="1:9">
      <c r="A289" s="7">
        <v>46310</v>
      </c>
      <c r="B289" s="5" t="s">
        <v>100</v>
      </c>
      <c r="C289" s="5">
        <v>0</v>
      </c>
      <c r="D289" s="5">
        <v>0</v>
      </c>
      <c r="E289" s="5">
        <v>0</v>
      </c>
      <c r="F289" s="5">
        <v>0</v>
      </c>
      <c r="G289" s="6">
        <f t="shared" si="4"/>
        <v>0</v>
      </c>
      <c r="H289" s="92"/>
      <c r="I289" s="8"/>
    </row>
    <row r="290" spans="1:9">
      <c r="A290" s="7">
        <v>46311</v>
      </c>
      <c r="B290" s="5" t="s">
        <v>100</v>
      </c>
      <c r="C290" s="5">
        <v>0</v>
      </c>
      <c r="D290" s="5">
        <v>0</v>
      </c>
      <c r="E290" s="5">
        <v>0</v>
      </c>
      <c r="F290" s="5">
        <v>0</v>
      </c>
      <c r="G290" s="6">
        <f t="shared" si="4"/>
        <v>0</v>
      </c>
      <c r="H290" s="92"/>
      <c r="I290" s="8"/>
    </row>
    <row r="291" spans="1:9">
      <c r="A291" s="7">
        <v>46312</v>
      </c>
      <c r="B291" s="5" t="s">
        <v>100</v>
      </c>
      <c r="C291" s="5">
        <v>0</v>
      </c>
      <c r="D291" s="5">
        <v>0</v>
      </c>
      <c r="E291" s="5">
        <v>0</v>
      </c>
      <c r="F291" s="5">
        <v>0</v>
      </c>
      <c r="G291" s="6">
        <f t="shared" si="4"/>
        <v>0</v>
      </c>
      <c r="H291" s="92"/>
      <c r="I291" s="8"/>
    </row>
    <row r="292" spans="1:9">
      <c r="A292" s="7">
        <v>46313</v>
      </c>
      <c r="B292" s="5" t="s">
        <v>100</v>
      </c>
      <c r="C292" s="5">
        <v>0</v>
      </c>
      <c r="D292" s="5">
        <v>0</v>
      </c>
      <c r="E292" s="5">
        <v>0</v>
      </c>
      <c r="F292" s="5">
        <v>0</v>
      </c>
      <c r="G292" s="6">
        <f t="shared" si="4"/>
        <v>0</v>
      </c>
      <c r="H292" s="93"/>
      <c r="I292" s="8"/>
    </row>
    <row r="293" spans="1:9">
      <c r="A293" s="7">
        <v>46314</v>
      </c>
      <c r="B293" s="5" t="s">
        <v>100</v>
      </c>
      <c r="C293" s="5">
        <v>0</v>
      </c>
      <c r="D293" s="5">
        <v>0</v>
      </c>
      <c r="E293" s="5">
        <v>0</v>
      </c>
      <c r="F293" s="5">
        <v>0</v>
      </c>
      <c r="G293" s="6">
        <f t="shared" si="4"/>
        <v>0</v>
      </c>
      <c r="H293" s="91">
        <f>SUM(G293:G299)</f>
        <v>0</v>
      </c>
      <c r="I293" s="8"/>
    </row>
    <row r="294" spans="1:9">
      <c r="A294" s="7">
        <v>46315</v>
      </c>
      <c r="B294" s="5" t="s">
        <v>100</v>
      </c>
      <c r="C294" s="5">
        <v>0</v>
      </c>
      <c r="D294" s="5">
        <v>0</v>
      </c>
      <c r="E294" s="5">
        <v>0</v>
      </c>
      <c r="F294" s="5">
        <v>0</v>
      </c>
      <c r="G294" s="6">
        <f t="shared" si="4"/>
        <v>0</v>
      </c>
      <c r="H294" s="92"/>
      <c r="I294" s="8"/>
    </row>
    <row r="295" spans="1:9">
      <c r="A295" s="7">
        <v>46316</v>
      </c>
      <c r="B295" s="5" t="s">
        <v>100</v>
      </c>
      <c r="C295" s="5">
        <v>0</v>
      </c>
      <c r="D295" s="5">
        <v>0</v>
      </c>
      <c r="E295" s="5">
        <v>0</v>
      </c>
      <c r="F295" s="5">
        <v>0</v>
      </c>
      <c r="G295" s="6">
        <f t="shared" si="4"/>
        <v>0</v>
      </c>
      <c r="H295" s="92"/>
      <c r="I295" s="8"/>
    </row>
    <row r="296" spans="1:9">
      <c r="A296" s="7">
        <v>46317</v>
      </c>
      <c r="B296" s="5" t="s">
        <v>100</v>
      </c>
      <c r="C296" s="5">
        <v>0</v>
      </c>
      <c r="D296" s="5">
        <v>0</v>
      </c>
      <c r="E296" s="5">
        <v>0</v>
      </c>
      <c r="F296" s="5">
        <v>0</v>
      </c>
      <c r="G296" s="6">
        <f t="shared" si="4"/>
        <v>0</v>
      </c>
      <c r="H296" s="92"/>
      <c r="I296" s="8"/>
    </row>
    <row r="297" spans="1:9">
      <c r="A297" s="7">
        <v>46318</v>
      </c>
      <c r="B297" s="5" t="s">
        <v>100</v>
      </c>
      <c r="C297" s="5">
        <v>0</v>
      </c>
      <c r="D297" s="5">
        <v>0</v>
      </c>
      <c r="E297" s="5">
        <v>0</v>
      </c>
      <c r="F297" s="5">
        <v>0</v>
      </c>
      <c r="G297" s="6">
        <f t="shared" si="4"/>
        <v>0</v>
      </c>
      <c r="H297" s="92"/>
      <c r="I297" s="8"/>
    </row>
    <row r="298" spans="1:9">
      <c r="A298" s="7">
        <v>46319</v>
      </c>
      <c r="B298" s="5" t="s">
        <v>100</v>
      </c>
      <c r="C298" s="5">
        <v>0</v>
      </c>
      <c r="D298" s="5">
        <v>0</v>
      </c>
      <c r="E298" s="5">
        <v>0</v>
      </c>
      <c r="F298" s="5">
        <v>0</v>
      </c>
      <c r="G298" s="6">
        <f t="shared" si="4"/>
        <v>0</v>
      </c>
      <c r="H298" s="92"/>
      <c r="I298" s="8"/>
    </row>
    <row r="299" spans="1:9">
      <c r="A299" s="7">
        <v>46320</v>
      </c>
      <c r="B299" s="5" t="s">
        <v>100</v>
      </c>
      <c r="C299" s="5">
        <v>0</v>
      </c>
      <c r="D299" s="5">
        <v>0</v>
      </c>
      <c r="E299" s="5">
        <v>0</v>
      </c>
      <c r="F299" s="5">
        <v>0</v>
      </c>
      <c r="G299" s="6">
        <f t="shared" si="4"/>
        <v>0</v>
      </c>
      <c r="H299" s="93"/>
      <c r="I299" s="8"/>
    </row>
    <row r="300" spans="1:9">
      <c r="A300" s="7">
        <v>46321</v>
      </c>
      <c r="B300" s="5" t="s">
        <v>100</v>
      </c>
      <c r="C300" s="5">
        <v>0</v>
      </c>
      <c r="D300" s="5">
        <v>0</v>
      </c>
      <c r="E300" s="5">
        <v>0</v>
      </c>
      <c r="F300" s="5">
        <v>0</v>
      </c>
      <c r="G300" s="6">
        <f t="shared" si="4"/>
        <v>0</v>
      </c>
      <c r="H300" s="91">
        <f>SUM(G300:G306)</f>
        <v>0</v>
      </c>
      <c r="I300" s="8"/>
    </row>
    <row r="301" spans="1:9">
      <c r="A301" s="7">
        <v>46322</v>
      </c>
      <c r="B301" s="5" t="s">
        <v>100</v>
      </c>
      <c r="C301" s="5">
        <v>0</v>
      </c>
      <c r="D301" s="5">
        <v>0</v>
      </c>
      <c r="E301" s="5">
        <v>0</v>
      </c>
      <c r="F301" s="5">
        <v>0</v>
      </c>
      <c r="G301" s="6">
        <f t="shared" si="4"/>
        <v>0</v>
      </c>
      <c r="H301" s="92"/>
      <c r="I301" s="8"/>
    </row>
    <row r="302" spans="1:9">
      <c r="A302" s="7">
        <v>46323</v>
      </c>
      <c r="B302" s="5" t="s">
        <v>100</v>
      </c>
      <c r="C302" s="5">
        <v>0</v>
      </c>
      <c r="D302" s="5">
        <v>0</v>
      </c>
      <c r="E302" s="5">
        <v>0</v>
      </c>
      <c r="F302" s="5">
        <v>0</v>
      </c>
      <c r="G302" s="6">
        <f t="shared" si="4"/>
        <v>0</v>
      </c>
      <c r="H302" s="92"/>
      <c r="I302" s="8"/>
    </row>
    <row r="303" spans="1:9">
      <c r="A303" s="7">
        <v>46324</v>
      </c>
      <c r="B303" s="5" t="s">
        <v>100</v>
      </c>
      <c r="C303" s="5">
        <v>0</v>
      </c>
      <c r="D303" s="5">
        <v>0</v>
      </c>
      <c r="E303" s="5">
        <v>0</v>
      </c>
      <c r="F303" s="5">
        <v>0</v>
      </c>
      <c r="G303" s="6">
        <f t="shared" si="4"/>
        <v>0</v>
      </c>
      <c r="H303" s="92"/>
      <c r="I303" s="8"/>
    </row>
    <row r="304" spans="1:9">
      <c r="A304" s="7">
        <v>46325</v>
      </c>
      <c r="B304" s="5" t="s">
        <v>100</v>
      </c>
      <c r="C304" s="5">
        <v>0</v>
      </c>
      <c r="D304" s="5">
        <v>0</v>
      </c>
      <c r="E304" s="5">
        <v>0</v>
      </c>
      <c r="F304" s="5">
        <v>0</v>
      </c>
      <c r="G304" s="6">
        <f t="shared" si="4"/>
        <v>0</v>
      </c>
      <c r="H304" s="92"/>
      <c r="I304" s="8"/>
    </row>
    <row r="305" spans="1:9">
      <c r="A305" s="7">
        <v>46326</v>
      </c>
      <c r="B305" s="5" t="s">
        <v>100</v>
      </c>
      <c r="C305" s="5">
        <v>0</v>
      </c>
      <c r="D305" s="5">
        <v>0</v>
      </c>
      <c r="E305" s="5">
        <v>0</v>
      </c>
      <c r="F305" s="5">
        <v>0</v>
      </c>
      <c r="G305" s="6">
        <f t="shared" si="4"/>
        <v>0</v>
      </c>
      <c r="H305" s="92"/>
      <c r="I305" s="8"/>
    </row>
    <row r="306" spans="1:9">
      <c r="A306" s="7">
        <v>46327</v>
      </c>
      <c r="B306" s="5" t="s">
        <v>100</v>
      </c>
      <c r="C306" s="5">
        <v>0</v>
      </c>
      <c r="D306" s="5">
        <v>0</v>
      </c>
      <c r="E306" s="5">
        <v>0</v>
      </c>
      <c r="F306" s="5">
        <v>0</v>
      </c>
      <c r="G306" s="6">
        <f t="shared" si="4"/>
        <v>0</v>
      </c>
      <c r="H306" s="93"/>
      <c r="I306" s="8"/>
    </row>
    <row r="307" spans="1:9">
      <c r="A307" s="7">
        <v>46328</v>
      </c>
      <c r="B307" s="5" t="s">
        <v>100</v>
      </c>
      <c r="C307" s="5">
        <v>0</v>
      </c>
      <c r="D307" s="5">
        <v>0</v>
      </c>
      <c r="E307" s="5">
        <v>0</v>
      </c>
      <c r="F307" s="5">
        <v>0</v>
      </c>
      <c r="G307" s="6">
        <f t="shared" si="4"/>
        <v>0</v>
      </c>
      <c r="H307" s="91">
        <f>SUM(G307:G313)</f>
        <v>0</v>
      </c>
      <c r="I307" s="8"/>
    </row>
    <row r="308" spans="1:9">
      <c r="A308" s="7">
        <v>46329</v>
      </c>
      <c r="B308" s="5" t="s">
        <v>100</v>
      </c>
      <c r="C308" s="5">
        <v>0</v>
      </c>
      <c r="D308" s="5">
        <v>0</v>
      </c>
      <c r="E308" s="5">
        <v>0</v>
      </c>
      <c r="F308" s="5">
        <v>0</v>
      </c>
      <c r="G308" s="6">
        <f t="shared" si="4"/>
        <v>0</v>
      </c>
      <c r="H308" s="92"/>
      <c r="I308" s="8"/>
    </row>
    <row r="309" spans="1:9">
      <c r="A309" s="7">
        <v>46330</v>
      </c>
      <c r="B309" s="5" t="s">
        <v>100</v>
      </c>
      <c r="C309" s="5">
        <v>0</v>
      </c>
      <c r="D309" s="5">
        <v>0</v>
      </c>
      <c r="E309" s="5">
        <v>0</v>
      </c>
      <c r="F309" s="5">
        <v>0</v>
      </c>
      <c r="G309" s="6">
        <f t="shared" si="4"/>
        <v>0</v>
      </c>
      <c r="H309" s="92"/>
      <c r="I309" s="8"/>
    </row>
    <row r="310" spans="1:9">
      <c r="A310" s="7">
        <v>46331</v>
      </c>
      <c r="B310" s="5" t="s">
        <v>100</v>
      </c>
      <c r="C310" s="5">
        <v>0</v>
      </c>
      <c r="D310" s="5">
        <v>0</v>
      </c>
      <c r="E310" s="5">
        <v>0</v>
      </c>
      <c r="F310" s="5">
        <v>0</v>
      </c>
      <c r="G310" s="6">
        <f t="shared" si="4"/>
        <v>0</v>
      </c>
      <c r="H310" s="92"/>
      <c r="I310" s="8"/>
    </row>
    <row r="311" spans="1:9">
      <c r="A311" s="7">
        <v>46332</v>
      </c>
      <c r="B311" s="5" t="s">
        <v>100</v>
      </c>
      <c r="C311" s="5">
        <v>0</v>
      </c>
      <c r="D311" s="5">
        <v>0</v>
      </c>
      <c r="E311" s="5">
        <v>0</v>
      </c>
      <c r="F311" s="5">
        <v>0</v>
      </c>
      <c r="G311" s="6">
        <f t="shared" si="4"/>
        <v>0</v>
      </c>
      <c r="H311" s="92"/>
      <c r="I311" s="8"/>
    </row>
    <row r="312" spans="1:9">
      <c r="A312" s="7">
        <v>46333</v>
      </c>
      <c r="B312" s="5" t="s">
        <v>100</v>
      </c>
      <c r="C312" s="5">
        <v>0</v>
      </c>
      <c r="D312" s="5">
        <v>0</v>
      </c>
      <c r="E312" s="5">
        <v>0</v>
      </c>
      <c r="F312" s="5">
        <v>0</v>
      </c>
      <c r="G312" s="6">
        <f t="shared" si="4"/>
        <v>0</v>
      </c>
      <c r="H312" s="92"/>
      <c r="I312" s="8"/>
    </row>
    <row r="313" spans="1:9">
      <c r="A313" s="7">
        <v>46334</v>
      </c>
      <c r="B313" s="5" t="s">
        <v>100</v>
      </c>
      <c r="C313" s="5">
        <v>0</v>
      </c>
      <c r="D313" s="5">
        <v>0</v>
      </c>
      <c r="E313" s="5">
        <v>0</v>
      </c>
      <c r="F313" s="5">
        <v>0</v>
      </c>
      <c r="G313" s="6">
        <f t="shared" si="4"/>
        <v>0</v>
      </c>
      <c r="H313" s="93"/>
      <c r="I313" s="8"/>
    </row>
    <row r="314" spans="1:9">
      <c r="A314" s="7">
        <v>46335</v>
      </c>
      <c r="B314" s="5" t="s">
        <v>100</v>
      </c>
      <c r="C314" s="5">
        <v>0</v>
      </c>
      <c r="D314" s="5">
        <v>0</v>
      </c>
      <c r="E314" s="5">
        <v>0</v>
      </c>
      <c r="F314" s="5">
        <v>0</v>
      </c>
      <c r="G314" s="6">
        <f t="shared" si="4"/>
        <v>0</v>
      </c>
      <c r="H314" s="91">
        <f>SUM(G314:G320)</f>
        <v>0</v>
      </c>
      <c r="I314" s="8"/>
    </row>
    <row r="315" spans="1:9">
      <c r="A315" s="7">
        <v>46336</v>
      </c>
      <c r="B315" s="5" t="s">
        <v>100</v>
      </c>
      <c r="C315" s="5">
        <v>0</v>
      </c>
      <c r="D315" s="5">
        <v>0</v>
      </c>
      <c r="E315" s="5">
        <v>0</v>
      </c>
      <c r="F315" s="5">
        <v>0</v>
      </c>
      <c r="G315" s="6">
        <f t="shared" si="4"/>
        <v>0</v>
      </c>
      <c r="H315" s="92"/>
      <c r="I315" s="8"/>
    </row>
    <row r="316" spans="1:9">
      <c r="A316" s="7">
        <v>46337</v>
      </c>
      <c r="B316" s="5" t="s">
        <v>100</v>
      </c>
      <c r="C316" s="5">
        <v>0</v>
      </c>
      <c r="D316" s="5">
        <v>0</v>
      </c>
      <c r="E316" s="5">
        <v>0</v>
      </c>
      <c r="F316" s="5">
        <v>0</v>
      </c>
      <c r="G316" s="6">
        <f t="shared" si="4"/>
        <v>0</v>
      </c>
      <c r="H316" s="92"/>
      <c r="I316" s="8"/>
    </row>
    <row r="317" spans="1:9">
      <c r="A317" s="7">
        <v>46338</v>
      </c>
      <c r="B317" s="5" t="s">
        <v>100</v>
      </c>
      <c r="C317" s="5">
        <v>0</v>
      </c>
      <c r="D317" s="5">
        <v>0</v>
      </c>
      <c r="E317" s="5">
        <v>0</v>
      </c>
      <c r="F317" s="5">
        <v>0</v>
      </c>
      <c r="G317" s="6">
        <f t="shared" si="4"/>
        <v>0</v>
      </c>
      <c r="H317" s="92"/>
      <c r="I317" s="8"/>
    </row>
    <row r="318" spans="1:9">
      <c r="A318" s="7">
        <v>46339</v>
      </c>
      <c r="B318" s="5" t="s">
        <v>100</v>
      </c>
      <c r="C318" s="5">
        <v>0</v>
      </c>
      <c r="D318" s="5">
        <v>0</v>
      </c>
      <c r="E318" s="5">
        <v>0</v>
      </c>
      <c r="F318" s="5">
        <v>0</v>
      </c>
      <c r="G318" s="6">
        <f t="shared" si="4"/>
        <v>0</v>
      </c>
      <c r="H318" s="92"/>
      <c r="I318" s="8"/>
    </row>
    <row r="319" spans="1:9">
      <c r="A319" s="7">
        <v>46340</v>
      </c>
      <c r="B319" s="5" t="s">
        <v>100</v>
      </c>
      <c r="C319" s="5">
        <v>0</v>
      </c>
      <c r="D319" s="5">
        <v>0</v>
      </c>
      <c r="E319" s="5">
        <v>0</v>
      </c>
      <c r="F319" s="5">
        <v>0</v>
      </c>
      <c r="G319" s="6">
        <f t="shared" si="4"/>
        <v>0</v>
      </c>
      <c r="H319" s="92"/>
      <c r="I319" s="8"/>
    </row>
    <row r="320" spans="1:9">
      <c r="A320" s="7">
        <v>46341</v>
      </c>
      <c r="B320" s="5" t="s">
        <v>100</v>
      </c>
      <c r="C320" s="5">
        <v>0</v>
      </c>
      <c r="D320" s="5">
        <v>0</v>
      </c>
      <c r="E320" s="5">
        <v>0</v>
      </c>
      <c r="F320" s="5">
        <v>0</v>
      </c>
      <c r="G320" s="6">
        <f t="shared" si="4"/>
        <v>0</v>
      </c>
      <c r="H320" s="93"/>
      <c r="I320" s="8"/>
    </row>
    <row r="321" spans="1:9">
      <c r="A321" s="7">
        <v>46342</v>
      </c>
      <c r="B321" s="5" t="s">
        <v>100</v>
      </c>
      <c r="C321" s="5">
        <v>0</v>
      </c>
      <c r="D321" s="5">
        <v>0</v>
      </c>
      <c r="E321" s="5">
        <v>0</v>
      </c>
      <c r="F321" s="5">
        <v>0</v>
      </c>
      <c r="G321" s="6">
        <f t="shared" si="4"/>
        <v>0</v>
      </c>
      <c r="H321" s="91">
        <f>SUM(G321:G327)</f>
        <v>0</v>
      </c>
      <c r="I321" s="8"/>
    </row>
    <row r="322" spans="1:9">
      <c r="A322" s="7">
        <v>46343</v>
      </c>
      <c r="B322" s="5" t="s">
        <v>100</v>
      </c>
      <c r="C322" s="5">
        <v>0</v>
      </c>
      <c r="D322" s="5">
        <v>0</v>
      </c>
      <c r="E322" s="5">
        <v>0</v>
      </c>
      <c r="F322" s="5">
        <v>0</v>
      </c>
      <c r="G322" s="6">
        <f t="shared" si="4"/>
        <v>0</v>
      </c>
      <c r="H322" s="92"/>
      <c r="I322" s="8"/>
    </row>
    <row r="323" spans="1:9">
      <c r="A323" s="7">
        <v>46344</v>
      </c>
      <c r="B323" s="5" t="s">
        <v>100</v>
      </c>
      <c r="C323" s="5">
        <v>0</v>
      </c>
      <c r="D323" s="5">
        <v>0</v>
      </c>
      <c r="E323" s="5">
        <v>0</v>
      </c>
      <c r="F323" s="5">
        <v>0</v>
      </c>
      <c r="G323" s="6">
        <f t="shared" ref="G323:G367" si="5">SUM(C323,E323,F323-D323)</f>
        <v>0</v>
      </c>
      <c r="H323" s="92"/>
      <c r="I323" s="8"/>
    </row>
    <row r="324" spans="1:9">
      <c r="A324" s="7">
        <v>46345</v>
      </c>
      <c r="B324" s="5" t="s">
        <v>100</v>
      </c>
      <c r="C324" s="5">
        <v>0</v>
      </c>
      <c r="D324" s="5">
        <v>0</v>
      </c>
      <c r="E324" s="5">
        <v>0</v>
      </c>
      <c r="F324" s="5">
        <v>0</v>
      </c>
      <c r="G324" s="6">
        <f t="shared" si="5"/>
        <v>0</v>
      </c>
      <c r="H324" s="92"/>
      <c r="I324" s="8"/>
    </row>
    <row r="325" spans="1:9">
      <c r="A325" s="7">
        <v>46346</v>
      </c>
      <c r="B325" s="5" t="s">
        <v>100</v>
      </c>
      <c r="C325" s="5">
        <v>0</v>
      </c>
      <c r="D325" s="5">
        <v>0</v>
      </c>
      <c r="E325" s="5">
        <v>0</v>
      </c>
      <c r="F325" s="5">
        <v>0</v>
      </c>
      <c r="G325" s="6">
        <f t="shared" si="5"/>
        <v>0</v>
      </c>
      <c r="H325" s="92"/>
      <c r="I325" s="8"/>
    </row>
    <row r="326" spans="1:9">
      <c r="A326" s="7">
        <v>46347</v>
      </c>
      <c r="B326" s="5" t="s">
        <v>100</v>
      </c>
      <c r="C326" s="5">
        <v>0</v>
      </c>
      <c r="D326" s="5">
        <v>0</v>
      </c>
      <c r="E326" s="5">
        <v>0</v>
      </c>
      <c r="F326" s="5">
        <v>0</v>
      </c>
      <c r="G326" s="6">
        <f t="shared" si="5"/>
        <v>0</v>
      </c>
      <c r="H326" s="92"/>
      <c r="I326" s="8"/>
    </row>
    <row r="327" spans="1:9">
      <c r="A327" s="7">
        <v>46348</v>
      </c>
      <c r="B327" s="5" t="s">
        <v>100</v>
      </c>
      <c r="C327" s="5">
        <v>0</v>
      </c>
      <c r="D327" s="5">
        <v>0</v>
      </c>
      <c r="E327" s="5">
        <v>0</v>
      </c>
      <c r="F327" s="5">
        <v>0</v>
      </c>
      <c r="G327" s="6">
        <f t="shared" si="5"/>
        <v>0</v>
      </c>
      <c r="H327" s="93"/>
      <c r="I327" s="8"/>
    </row>
    <row r="328" spans="1:9">
      <c r="A328" s="7">
        <v>46349</v>
      </c>
      <c r="B328" s="5" t="s">
        <v>100</v>
      </c>
      <c r="C328" s="5">
        <v>0</v>
      </c>
      <c r="D328" s="5">
        <v>0</v>
      </c>
      <c r="E328" s="5">
        <v>0</v>
      </c>
      <c r="F328" s="5">
        <v>0</v>
      </c>
      <c r="G328" s="6">
        <f t="shared" si="5"/>
        <v>0</v>
      </c>
      <c r="H328" s="91">
        <f>SUM(G328:G334)</f>
        <v>0</v>
      </c>
      <c r="I328" s="8"/>
    </row>
    <row r="329" spans="1:9">
      <c r="A329" s="7">
        <v>46350</v>
      </c>
      <c r="B329" s="5" t="s">
        <v>100</v>
      </c>
      <c r="C329" s="5">
        <v>0</v>
      </c>
      <c r="D329" s="5">
        <v>0</v>
      </c>
      <c r="E329" s="5">
        <v>0</v>
      </c>
      <c r="F329" s="5">
        <v>0</v>
      </c>
      <c r="G329" s="6">
        <f t="shared" si="5"/>
        <v>0</v>
      </c>
      <c r="H329" s="92"/>
      <c r="I329" s="8"/>
    </row>
    <row r="330" spans="1:9">
      <c r="A330" s="7">
        <v>46351</v>
      </c>
      <c r="B330" s="5" t="s">
        <v>100</v>
      </c>
      <c r="C330" s="5">
        <v>0</v>
      </c>
      <c r="D330" s="5">
        <v>0</v>
      </c>
      <c r="E330" s="5">
        <v>0</v>
      </c>
      <c r="F330" s="5">
        <v>0</v>
      </c>
      <c r="G330" s="6">
        <f t="shared" si="5"/>
        <v>0</v>
      </c>
      <c r="H330" s="92"/>
      <c r="I330" s="8"/>
    </row>
    <row r="331" spans="1:9">
      <c r="A331" s="7">
        <v>46352</v>
      </c>
      <c r="B331" s="5" t="s">
        <v>100</v>
      </c>
      <c r="C331" s="5">
        <v>0</v>
      </c>
      <c r="D331" s="5">
        <v>0</v>
      </c>
      <c r="E331" s="5">
        <v>0</v>
      </c>
      <c r="F331" s="5">
        <v>0</v>
      </c>
      <c r="G331" s="6">
        <f t="shared" si="5"/>
        <v>0</v>
      </c>
      <c r="H331" s="92"/>
      <c r="I331" s="8"/>
    </row>
    <row r="332" spans="1:9">
      <c r="A332" s="7">
        <v>46353</v>
      </c>
      <c r="B332" s="5" t="s">
        <v>100</v>
      </c>
      <c r="C332" s="5">
        <v>0</v>
      </c>
      <c r="D332" s="5">
        <v>0</v>
      </c>
      <c r="E332" s="5">
        <v>0</v>
      </c>
      <c r="F332" s="5">
        <v>0</v>
      </c>
      <c r="G332" s="6">
        <f t="shared" si="5"/>
        <v>0</v>
      </c>
      <c r="H332" s="92"/>
      <c r="I332" s="8"/>
    </row>
    <row r="333" spans="1:9">
      <c r="A333" s="7">
        <v>46354</v>
      </c>
      <c r="B333" s="5" t="s">
        <v>100</v>
      </c>
      <c r="C333" s="5">
        <v>0</v>
      </c>
      <c r="D333" s="5">
        <v>0</v>
      </c>
      <c r="E333" s="5">
        <v>0</v>
      </c>
      <c r="F333" s="5">
        <v>0</v>
      </c>
      <c r="G333" s="6">
        <f t="shared" si="5"/>
        <v>0</v>
      </c>
      <c r="H333" s="92"/>
      <c r="I333" s="8"/>
    </row>
    <row r="334" spans="1:9">
      <c r="A334" s="7">
        <v>46355</v>
      </c>
      <c r="B334" s="5" t="s">
        <v>100</v>
      </c>
      <c r="C334" s="5">
        <v>0</v>
      </c>
      <c r="D334" s="5">
        <v>0</v>
      </c>
      <c r="E334" s="5">
        <v>0</v>
      </c>
      <c r="F334" s="5">
        <v>0</v>
      </c>
      <c r="G334" s="6">
        <f t="shared" si="5"/>
        <v>0</v>
      </c>
      <c r="H334" s="93"/>
      <c r="I334" s="8"/>
    </row>
    <row r="335" spans="1:9">
      <c r="A335" s="7">
        <v>46356</v>
      </c>
      <c r="B335" s="5" t="s">
        <v>100</v>
      </c>
      <c r="C335" s="5">
        <v>0</v>
      </c>
      <c r="D335" s="5">
        <v>0</v>
      </c>
      <c r="E335" s="5">
        <v>0</v>
      </c>
      <c r="F335" s="5">
        <v>0</v>
      </c>
      <c r="G335" s="6">
        <f t="shared" si="5"/>
        <v>0</v>
      </c>
      <c r="H335" s="91">
        <f>SUM(G335:G341)</f>
        <v>0</v>
      </c>
      <c r="I335" s="8"/>
    </row>
    <row r="336" spans="1:9">
      <c r="A336" s="7">
        <v>46357</v>
      </c>
      <c r="B336" s="5" t="s">
        <v>100</v>
      </c>
      <c r="C336" s="5">
        <v>0</v>
      </c>
      <c r="D336" s="5">
        <v>0</v>
      </c>
      <c r="E336" s="5">
        <v>0</v>
      </c>
      <c r="F336" s="5">
        <v>0</v>
      </c>
      <c r="G336" s="6">
        <f t="shared" si="5"/>
        <v>0</v>
      </c>
      <c r="H336" s="92"/>
      <c r="I336" s="8"/>
    </row>
    <row r="337" spans="1:9">
      <c r="A337" s="7">
        <v>46358</v>
      </c>
      <c r="B337" s="5" t="s">
        <v>100</v>
      </c>
      <c r="C337" s="5">
        <v>0</v>
      </c>
      <c r="D337" s="5">
        <v>0</v>
      </c>
      <c r="E337" s="5">
        <v>0</v>
      </c>
      <c r="F337" s="5">
        <v>0</v>
      </c>
      <c r="G337" s="6">
        <f t="shared" si="5"/>
        <v>0</v>
      </c>
      <c r="H337" s="92"/>
      <c r="I337" s="8"/>
    </row>
    <row r="338" spans="1:9">
      <c r="A338" s="7">
        <v>46359</v>
      </c>
      <c r="B338" s="5" t="s">
        <v>100</v>
      </c>
      <c r="C338" s="5">
        <v>0</v>
      </c>
      <c r="D338" s="5">
        <v>0</v>
      </c>
      <c r="E338" s="5">
        <v>0</v>
      </c>
      <c r="F338" s="5">
        <v>0</v>
      </c>
      <c r="G338" s="6">
        <f t="shared" si="5"/>
        <v>0</v>
      </c>
      <c r="H338" s="92"/>
      <c r="I338" s="8"/>
    </row>
    <row r="339" spans="1:9">
      <c r="A339" s="7">
        <v>46360</v>
      </c>
      <c r="B339" s="5" t="s">
        <v>100</v>
      </c>
      <c r="C339" s="5">
        <v>0</v>
      </c>
      <c r="D339" s="5">
        <v>0</v>
      </c>
      <c r="E339" s="5">
        <v>0</v>
      </c>
      <c r="F339" s="5">
        <v>0</v>
      </c>
      <c r="G339" s="6">
        <f t="shared" si="5"/>
        <v>0</v>
      </c>
      <c r="H339" s="92"/>
      <c r="I339" s="8"/>
    </row>
    <row r="340" spans="1:9">
      <c r="A340" s="7">
        <v>46361</v>
      </c>
      <c r="B340" s="5" t="s">
        <v>100</v>
      </c>
      <c r="C340" s="5">
        <v>0</v>
      </c>
      <c r="D340" s="5">
        <v>0</v>
      </c>
      <c r="E340" s="5">
        <v>0</v>
      </c>
      <c r="F340" s="5">
        <v>0</v>
      </c>
      <c r="G340" s="6">
        <f t="shared" si="5"/>
        <v>0</v>
      </c>
      <c r="H340" s="92"/>
      <c r="I340" s="8"/>
    </row>
    <row r="341" spans="1:9">
      <c r="A341" s="7">
        <v>46362</v>
      </c>
      <c r="B341" s="5" t="s">
        <v>100</v>
      </c>
      <c r="C341" s="5">
        <v>0</v>
      </c>
      <c r="D341" s="5">
        <v>0</v>
      </c>
      <c r="E341" s="5">
        <v>0</v>
      </c>
      <c r="F341" s="5">
        <v>0</v>
      </c>
      <c r="G341" s="6">
        <f t="shared" si="5"/>
        <v>0</v>
      </c>
      <c r="H341" s="93"/>
      <c r="I341" s="8"/>
    </row>
    <row r="342" spans="1:9">
      <c r="A342" s="7">
        <v>46363</v>
      </c>
      <c r="B342" s="5" t="s">
        <v>100</v>
      </c>
      <c r="C342" s="5">
        <v>0</v>
      </c>
      <c r="D342" s="5">
        <v>0</v>
      </c>
      <c r="E342" s="5">
        <v>0</v>
      </c>
      <c r="F342" s="5">
        <v>0</v>
      </c>
      <c r="G342" s="6">
        <f t="shared" si="5"/>
        <v>0</v>
      </c>
      <c r="H342" s="91">
        <f>SUM(G342:G348)</f>
        <v>0</v>
      </c>
      <c r="I342" s="8"/>
    </row>
    <row r="343" spans="1:9">
      <c r="A343" s="7">
        <v>46364</v>
      </c>
      <c r="B343" s="5" t="s">
        <v>100</v>
      </c>
      <c r="C343" s="5">
        <v>0</v>
      </c>
      <c r="D343" s="5">
        <v>0</v>
      </c>
      <c r="E343" s="5">
        <v>0</v>
      </c>
      <c r="F343" s="5">
        <v>0</v>
      </c>
      <c r="G343" s="6">
        <f t="shared" si="5"/>
        <v>0</v>
      </c>
      <c r="H343" s="92"/>
      <c r="I343" s="8"/>
    </row>
    <row r="344" spans="1:9">
      <c r="A344" s="7">
        <v>46365</v>
      </c>
      <c r="B344" s="5" t="s">
        <v>100</v>
      </c>
      <c r="C344" s="5">
        <v>0</v>
      </c>
      <c r="D344" s="5">
        <v>0</v>
      </c>
      <c r="E344" s="5">
        <v>0</v>
      </c>
      <c r="F344" s="5">
        <v>0</v>
      </c>
      <c r="G344" s="6">
        <f t="shared" si="5"/>
        <v>0</v>
      </c>
      <c r="H344" s="92"/>
      <c r="I344" s="8"/>
    </row>
    <row r="345" spans="1:9">
      <c r="A345" s="7">
        <v>46366</v>
      </c>
      <c r="B345" s="5" t="s">
        <v>100</v>
      </c>
      <c r="C345" s="5">
        <v>0</v>
      </c>
      <c r="D345" s="5">
        <v>0</v>
      </c>
      <c r="E345" s="5">
        <v>0</v>
      </c>
      <c r="F345" s="5">
        <v>0</v>
      </c>
      <c r="G345" s="6">
        <f t="shared" si="5"/>
        <v>0</v>
      </c>
      <c r="H345" s="92"/>
      <c r="I345" s="8"/>
    </row>
    <row r="346" spans="1:9">
      <c r="A346" s="7">
        <v>46367</v>
      </c>
      <c r="B346" s="5" t="s">
        <v>100</v>
      </c>
      <c r="C346" s="5">
        <v>0</v>
      </c>
      <c r="D346" s="5">
        <v>0</v>
      </c>
      <c r="E346" s="5">
        <v>0</v>
      </c>
      <c r="F346" s="5">
        <v>0</v>
      </c>
      <c r="G346" s="6">
        <f t="shared" si="5"/>
        <v>0</v>
      </c>
      <c r="H346" s="92"/>
      <c r="I346" s="8"/>
    </row>
    <row r="347" spans="1:9">
      <c r="A347" s="7">
        <v>46368</v>
      </c>
      <c r="B347" s="5" t="s">
        <v>100</v>
      </c>
      <c r="C347" s="5">
        <v>0</v>
      </c>
      <c r="D347" s="5">
        <v>0</v>
      </c>
      <c r="E347" s="5">
        <v>0</v>
      </c>
      <c r="F347" s="5">
        <v>0</v>
      </c>
      <c r="G347" s="6">
        <f t="shared" si="5"/>
        <v>0</v>
      </c>
      <c r="H347" s="92"/>
      <c r="I347" s="8"/>
    </row>
    <row r="348" spans="1:9">
      <c r="A348" s="7">
        <v>46369</v>
      </c>
      <c r="B348" s="5" t="s">
        <v>100</v>
      </c>
      <c r="C348" s="5">
        <v>0</v>
      </c>
      <c r="D348" s="5">
        <v>0</v>
      </c>
      <c r="E348" s="5">
        <v>0</v>
      </c>
      <c r="F348" s="5">
        <v>0</v>
      </c>
      <c r="G348" s="6">
        <f t="shared" si="5"/>
        <v>0</v>
      </c>
      <c r="H348" s="93"/>
      <c r="I348" s="8"/>
    </row>
    <row r="349" spans="1:9">
      <c r="A349" s="7">
        <v>46370</v>
      </c>
      <c r="B349" s="5" t="s">
        <v>100</v>
      </c>
      <c r="C349" s="5">
        <v>0</v>
      </c>
      <c r="D349" s="5">
        <v>0</v>
      </c>
      <c r="E349" s="5">
        <v>0</v>
      </c>
      <c r="F349" s="5">
        <v>0</v>
      </c>
      <c r="G349" s="6">
        <f t="shared" si="5"/>
        <v>0</v>
      </c>
      <c r="H349" s="91">
        <f>SUM(G349:G355)</f>
        <v>0</v>
      </c>
      <c r="I349" s="8"/>
    </row>
    <row r="350" spans="1:9">
      <c r="A350" s="7">
        <v>46371</v>
      </c>
      <c r="B350" s="5" t="s">
        <v>100</v>
      </c>
      <c r="C350" s="5">
        <v>0</v>
      </c>
      <c r="D350" s="5">
        <v>0</v>
      </c>
      <c r="E350" s="5">
        <v>0</v>
      </c>
      <c r="F350" s="5">
        <v>0</v>
      </c>
      <c r="G350" s="6">
        <f t="shared" si="5"/>
        <v>0</v>
      </c>
      <c r="H350" s="92"/>
      <c r="I350" s="8"/>
    </row>
    <row r="351" spans="1:9">
      <c r="A351" s="7">
        <v>46372</v>
      </c>
      <c r="B351" s="5" t="s">
        <v>100</v>
      </c>
      <c r="C351" s="5">
        <v>0</v>
      </c>
      <c r="D351" s="5">
        <v>0</v>
      </c>
      <c r="E351" s="5">
        <v>0</v>
      </c>
      <c r="F351" s="5">
        <v>0</v>
      </c>
      <c r="G351" s="6">
        <f t="shared" si="5"/>
        <v>0</v>
      </c>
      <c r="H351" s="92"/>
      <c r="I351" s="8"/>
    </row>
    <row r="352" spans="1:9">
      <c r="A352" s="7">
        <v>46373</v>
      </c>
      <c r="B352" s="5" t="s">
        <v>100</v>
      </c>
      <c r="C352" s="5">
        <v>0</v>
      </c>
      <c r="D352" s="5">
        <v>0</v>
      </c>
      <c r="E352" s="5">
        <v>0</v>
      </c>
      <c r="F352" s="5">
        <v>0</v>
      </c>
      <c r="G352" s="6">
        <f t="shared" si="5"/>
        <v>0</v>
      </c>
      <c r="H352" s="92"/>
      <c r="I352" s="8"/>
    </row>
    <row r="353" spans="1:9">
      <c r="A353" s="7">
        <v>46374</v>
      </c>
      <c r="B353" s="5" t="s">
        <v>100</v>
      </c>
      <c r="C353" s="5">
        <v>0</v>
      </c>
      <c r="D353" s="5">
        <v>0</v>
      </c>
      <c r="E353" s="5">
        <v>0</v>
      </c>
      <c r="F353" s="5">
        <v>0</v>
      </c>
      <c r="G353" s="6">
        <f t="shared" si="5"/>
        <v>0</v>
      </c>
      <c r="H353" s="92"/>
      <c r="I353" s="8"/>
    </row>
    <row r="354" spans="1:9">
      <c r="A354" s="7">
        <v>46375</v>
      </c>
      <c r="B354" s="5" t="s">
        <v>100</v>
      </c>
      <c r="C354" s="5">
        <v>0</v>
      </c>
      <c r="D354" s="5">
        <v>0</v>
      </c>
      <c r="E354" s="5">
        <v>0</v>
      </c>
      <c r="F354" s="5">
        <v>0</v>
      </c>
      <c r="G354" s="6">
        <f t="shared" si="5"/>
        <v>0</v>
      </c>
      <c r="H354" s="92"/>
      <c r="I354" s="8"/>
    </row>
    <row r="355" spans="1:9">
      <c r="A355" s="7">
        <v>46376</v>
      </c>
      <c r="B355" s="5" t="s">
        <v>100</v>
      </c>
      <c r="C355" s="5">
        <v>0</v>
      </c>
      <c r="D355" s="5">
        <v>0</v>
      </c>
      <c r="E355" s="5">
        <v>0</v>
      </c>
      <c r="F355" s="5">
        <v>0</v>
      </c>
      <c r="G355" s="6">
        <f t="shared" si="5"/>
        <v>0</v>
      </c>
      <c r="H355" s="93"/>
      <c r="I355" s="8"/>
    </row>
    <row r="356" spans="1:9">
      <c r="A356" s="7">
        <v>46377</v>
      </c>
      <c r="B356" s="5" t="s">
        <v>100</v>
      </c>
      <c r="C356" s="5">
        <v>0</v>
      </c>
      <c r="D356" s="5">
        <v>0</v>
      </c>
      <c r="E356" s="5">
        <v>0</v>
      </c>
      <c r="F356" s="5">
        <v>0</v>
      </c>
      <c r="G356" s="6">
        <f t="shared" si="5"/>
        <v>0</v>
      </c>
      <c r="H356" s="91">
        <f>SUM(G356:G362)</f>
        <v>0</v>
      </c>
      <c r="I356" s="8"/>
    </row>
    <row r="357" spans="1:9">
      <c r="A357" s="7">
        <v>46378</v>
      </c>
      <c r="B357" s="5" t="s">
        <v>100</v>
      </c>
      <c r="C357" s="5">
        <v>0</v>
      </c>
      <c r="D357" s="5">
        <v>0</v>
      </c>
      <c r="E357" s="5">
        <v>0</v>
      </c>
      <c r="F357" s="5">
        <v>0</v>
      </c>
      <c r="G357" s="6">
        <f t="shared" si="5"/>
        <v>0</v>
      </c>
      <c r="H357" s="92"/>
      <c r="I357" s="8"/>
    </row>
    <row r="358" spans="1:9">
      <c r="A358" s="7">
        <v>46379</v>
      </c>
      <c r="B358" s="5" t="s">
        <v>100</v>
      </c>
      <c r="C358" s="5">
        <v>0</v>
      </c>
      <c r="D358" s="5">
        <v>0</v>
      </c>
      <c r="E358" s="5">
        <v>0</v>
      </c>
      <c r="F358" s="5">
        <v>0</v>
      </c>
      <c r="G358" s="6">
        <f t="shared" si="5"/>
        <v>0</v>
      </c>
      <c r="H358" s="92"/>
      <c r="I358" s="8"/>
    </row>
    <row r="359" spans="1:9">
      <c r="A359" s="7">
        <v>46380</v>
      </c>
      <c r="B359" s="5" t="s">
        <v>100</v>
      </c>
      <c r="C359" s="5">
        <v>0</v>
      </c>
      <c r="D359" s="5">
        <v>0</v>
      </c>
      <c r="E359" s="5">
        <v>0</v>
      </c>
      <c r="F359" s="5">
        <v>0</v>
      </c>
      <c r="G359" s="6">
        <f t="shared" si="5"/>
        <v>0</v>
      </c>
      <c r="H359" s="92"/>
      <c r="I359" s="8"/>
    </row>
    <row r="360" spans="1:9">
      <c r="A360" s="7">
        <v>46381</v>
      </c>
      <c r="B360" s="5" t="s">
        <v>100</v>
      </c>
      <c r="C360" s="5">
        <v>0</v>
      </c>
      <c r="D360" s="5">
        <v>0</v>
      </c>
      <c r="E360" s="5">
        <v>0</v>
      </c>
      <c r="F360" s="5">
        <v>0</v>
      </c>
      <c r="G360" s="6">
        <f t="shared" si="5"/>
        <v>0</v>
      </c>
      <c r="H360" s="92"/>
      <c r="I360" s="8"/>
    </row>
    <row r="361" spans="1:9">
      <c r="A361" s="7">
        <v>46382</v>
      </c>
      <c r="B361" s="5" t="s">
        <v>100</v>
      </c>
      <c r="C361" s="5">
        <v>0</v>
      </c>
      <c r="D361" s="5">
        <v>0</v>
      </c>
      <c r="E361" s="5">
        <v>0</v>
      </c>
      <c r="F361" s="5">
        <v>0</v>
      </c>
      <c r="G361" s="6">
        <f t="shared" si="5"/>
        <v>0</v>
      </c>
      <c r="H361" s="92"/>
      <c r="I361" s="8"/>
    </row>
    <row r="362" spans="1:9">
      <c r="A362" s="7">
        <v>46383</v>
      </c>
      <c r="B362" s="5" t="s">
        <v>100</v>
      </c>
      <c r="C362" s="5">
        <v>0</v>
      </c>
      <c r="D362" s="5">
        <v>0</v>
      </c>
      <c r="E362" s="5">
        <v>0</v>
      </c>
      <c r="F362" s="5">
        <v>0</v>
      </c>
      <c r="G362" s="6">
        <f t="shared" si="5"/>
        <v>0</v>
      </c>
      <c r="H362" s="93"/>
      <c r="I362" s="8"/>
    </row>
    <row r="363" spans="1:9">
      <c r="A363" s="7">
        <v>46384</v>
      </c>
      <c r="B363" s="5" t="s">
        <v>100</v>
      </c>
      <c r="C363" s="5">
        <v>0</v>
      </c>
      <c r="D363" s="5">
        <v>0</v>
      </c>
      <c r="E363" s="5">
        <v>0</v>
      </c>
      <c r="F363" s="5">
        <v>0</v>
      </c>
      <c r="G363" s="6">
        <f t="shared" si="5"/>
        <v>0</v>
      </c>
      <c r="H363" s="19"/>
      <c r="I363" s="8"/>
    </row>
    <row r="364" spans="1:9">
      <c r="A364" s="7">
        <v>46385</v>
      </c>
      <c r="B364" s="5" t="s">
        <v>100</v>
      </c>
      <c r="C364" s="5">
        <v>0</v>
      </c>
      <c r="D364" s="5">
        <v>0</v>
      </c>
      <c r="E364" s="5">
        <v>0</v>
      </c>
      <c r="F364" s="5">
        <v>0</v>
      </c>
      <c r="G364" s="6">
        <f t="shared" si="5"/>
        <v>0</v>
      </c>
      <c r="H364" s="12"/>
      <c r="I364" s="8"/>
    </row>
    <row r="365" spans="1:9">
      <c r="A365" s="7">
        <v>46386</v>
      </c>
      <c r="B365" s="5" t="s">
        <v>100</v>
      </c>
      <c r="C365" s="5">
        <v>0</v>
      </c>
      <c r="D365" s="5">
        <v>0</v>
      </c>
      <c r="E365" s="5">
        <v>0</v>
      </c>
      <c r="F365" s="5">
        <v>0</v>
      </c>
      <c r="G365" s="6">
        <f t="shared" si="5"/>
        <v>0</v>
      </c>
      <c r="H365" s="12"/>
      <c r="I365" s="8"/>
    </row>
    <row r="366" spans="1:9">
      <c r="A366" s="7">
        <v>46387</v>
      </c>
      <c r="B366" s="5" t="s">
        <v>100</v>
      </c>
      <c r="C366" s="5">
        <v>0</v>
      </c>
      <c r="D366" s="5">
        <v>0</v>
      </c>
      <c r="E366" s="5">
        <v>0</v>
      </c>
      <c r="F366" s="5">
        <v>0</v>
      </c>
      <c r="G366" s="6">
        <f t="shared" si="5"/>
        <v>0</v>
      </c>
      <c r="H366" s="12"/>
      <c r="I366" s="8"/>
    </row>
    <row r="367" spans="1:9">
      <c r="A367" s="7">
        <v>46388</v>
      </c>
      <c r="B367" s="5" t="s">
        <v>100</v>
      </c>
      <c r="C367" s="5">
        <v>0</v>
      </c>
      <c r="D367" s="5">
        <v>0</v>
      </c>
      <c r="E367" s="5">
        <v>0</v>
      </c>
      <c r="F367" s="5">
        <v>0</v>
      </c>
      <c r="G367" s="6">
        <f t="shared" si="5"/>
        <v>0</v>
      </c>
      <c r="H367" s="12"/>
      <c r="I367" s="8"/>
    </row>
    <row r="368" spans="1:9">
      <c r="A368" s="16"/>
      <c r="B368" s="17"/>
      <c r="C368" s="18"/>
      <c r="D368" s="18"/>
      <c r="E368" s="18"/>
      <c r="F368" s="18"/>
      <c r="G368" s="18"/>
      <c r="H368" s="95"/>
      <c r="I368" s="18"/>
    </row>
    <row r="369" spans="1:9">
      <c r="A369" s="16"/>
      <c r="B369" s="17"/>
      <c r="C369" s="18"/>
      <c r="D369" s="18"/>
      <c r="E369" s="18"/>
      <c r="F369" s="18"/>
      <c r="G369" s="18"/>
      <c r="H369" s="95"/>
      <c r="I369" s="18"/>
    </row>
    <row r="370" spans="1:9">
      <c r="A370" s="16"/>
      <c r="B370" s="17"/>
      <c r="C370" s="18"/>
      <c r="D370" s="18"/>
      <c r="E370" s="18"/>
      <c r="F370" s="18"/>
      <c r="G370" s="18"/>
      <c r="H370" s="95"/>
      <c r="I370" s="18"/>
    </row>
    <row r="371" spans="1:9">
      <c r="A371" s="16"/>
      <c r="B371" s="17"/>
      <c r="C371" s="18"/>
      <c r="D371" s="18"/>
      <c r="E371" s="18"/>
      <c r="F371" s="18"/>
      <c r="G371" s="18"/>
      <c r="H371" s="95"/>
      <c r="I371" s="18"/>
    </row>
    <row r="372" spans="1:9">
      <c r="A372" s="16"/>
      <c r="B372" s="17"/>
      <c r="C372" s="18"/>
      <c r="D372" s="18"/>
      <c r="E372" s="18"/>
      <c r="F372" s="18"/>
      <c r="G372" s="18"/>
      <c r="H372" s="95"/>
      <c r="I372" s="18"/>
    </row>
    <row r="373" spans="1:9">
      <c r="A373" s="16"/>
      <c r="B373" s="17"/>
      <c r="C373" s="18"/>
      <c r="D373" s="18"/>
      <c r="E373" s="18"/>
      <c r="F373" s="18"/>
      <c r="G373" s="18"/>
      <c r="H373" s="95"/>
      <c r="I373" s="18"/>
    </row>
    <row r="374" spans="1:9">
      <c r="A374" s="16"/>
      <c r="B374" s="17"/>
      <c r="C374" s="18"/>
      <c r="D374" s="18"/>
      <c r="E374" s="18"/>
      <c r="F374" s="18"/>
      <c r="G374" s="18"/>
      <c r="H374" s="95"/>
      <c r="I374" s="18"/>
    </row>
    <row r="375" spans="1:9">
      <c r="A375" s="16"/>
      <c r="B375" s="17"/>
      <c r="C375" s="18"/>
      <c r="D375" s="18"/>
      <c r="E375" s="18"/>
      <c r="F375" s="18"/>
      <c r="G375" s="18"/>
      <c r="H375" s="95"/>
      <c r="I375" s="18"/>
    </row>
    <row r="376" spans="1:9">
      <c r="A376" s="16"/>
      <c r="B376" s="17"/>
      <c r="C376" s="18"/>
      <c r="D376" s="18"/>
      <c r="E376" s="18"/>
      <c r="F376" s="18"/>
      <c r="G376" s="18"/>
      <c r="H376" s="95"/>
      <c r="I376" s="18"/>
    </row>
    <row r="377" spans="1:9">
      <c r="A377" s="16"/>
      <c r="B377" s="17"/>
      <c r="C377" s="18"/>
      <c r="D377" s="18"/>
      <c r="E377" s="18"/>
      <c r="F377" s="18"/>
      <c r="G377" s="18"/>
      <c r="H377" s="95"/>
      <c r="I377" s="18"/>
    </row>
    <row r="378" spans="1:9">
      <c r="A378" s="16"/>
      <c r="B378" s="17"/>
      <c r="C378" s="18"/>
      <c r="D378" s="18"/>
      <c r="E378" s="18"/>
      <c r="F378" s="18"/>
      <c r="G378" s="18"/>
      <c r="H378" s="95"/>
      <c r="I378" s="18"/>
    </row>
    <row r="379" spans="1:9">
      <c r="A379" s="16"/>
      <c r="B379" s="17"/>
      <c r="C379" s="18"/>
      <c r="D379" s="18"/>
      <c r="E379" s="18"/>
      <c r="F379" s="18"/>
      <c r="G379" s="18"/>
      <c r="H379" s="95"/>
      <c r="I379" s="18"/>
    </row>
    <row r="380" spans="1:9">
      <c r="A380" s="16"/>
      <c r="B380" s="17"/>
      <c r="C380" s="18"/>
      <c r="D380" s="18"/>
      <c r="E380" s="18"/>
      <c r="F380" s="18"/>
      <c r="G380" s="18"/>
      <c r="H380" s="95"/>
      <c r="I380" s="18"/>
    </row>
    <row r="381" spans="1:9">
      <c r="A381" s="16"/>
      <c r="B381" s="17"/>
      <c r="C381" s="18"/>
      <c r="D381" s="18"/>
      <c r="E381" s="18"/>
      <c r="F381" s="18"/>
      <c r="G381" s="18"/>
      <c r="H381" s="95"/>
      <c r="I381" s="18"/>
    </row>
    <row r="382" spans="1:9">
      <c r="A382" s="16"/>
      <c r="B382" s="17"/>
      <c r="C382" s="18"/>
      <c r="D382" s="18"/>
      <c r="E382" s="18"/>
      <c r="F382" s="18"/>
      <c r="G382" s="18"/>
      <c r="H382" s="95"/>
      <c r="I382" s="18"/>
    </row>
    <row r="383" spans="1:9">
      <c r="A383" s="16"/>
      <c r="B383" s="17"/>
      <c r="C383" s="18"/>
      <c r="D383" s="18"/>
      <c r="E383" s="18"/>
      <c r="F383" s="18"/>
      <c r="G383" s="18"/>
      <c r="H383" s="95"/>
      <c r="I383" s="18"/>
    </row>
    <row r="384" spans="1:9">
      <c r="A384" s="16"/>
      <c r="B384" s="17"/>
      <c r="C384" s="18"/>
      <c r="D384" s="18"/>
      <c r="E384" s="18"/>
      <c r="F384" s="18"/>
      <c r="G384" s="18"/>
      <c r="H384" s="95"/>
      <c r="I384" s="18"/>
    </row>
    <row r="385" spans="1:9">
      <c r="A385" s="16"/>
      <c r="B385" s="17"/>
      <c r="C385" s="18"/>
      <c r="D385" s="18"/>
      <c r="E385" s="18"/>
      <c r="F385" s="18"/>
      <c r="G385" s="18"/>
      <c r="H385" s="95"/>
      <c r="I385" s="18"/>
    </row>
    <row r="386" spans="1:9">
      <c r="A386" s="16"/>
      <c r="B386" s="17"/>
      <c r="C386" s="18"/>
      <c r="D386" s="18"/>
      <c r="E386" s="18"/>
      <c r="F386" s="18"/>
      <c r="G386" s="18"/>
      <c r="H386" s="95"/>
      <c r="I386" s="18"/>
    </row>
    <row r="387" spans="1:9">
      <c r="A387" s="16"/>
      <c r="B387" s="17"/>
      <c r="C387" s="18"/>
      <c r="D387" s="18"/>
      <c r="E387" s="18"/>
      <c r="F387" s="18"/>
      <c r="G387" s="18"/>
      <c r="H387" s="95"/>
      <c r="I387" s="18"/>
    </row>
    <row r="388" spans="1:9">
      <c r="A388" s="16"/>
      <c r="B388" s="17"/>
      <c r="C388" s="18"/>
      <c r="D388" s="18"/>
      <c r="E388" s="18"/>
      <c r="F388" s="18"/>
      <c r="G388" s="18"/>
      <c r="H388" s="95"/>
      <c r="I388" s="18"/>
    </row>
    <row r="389" spans="1:9">
      <c r="A389" s="16"/>
      <c r="B389" s="17"/>
      <c r="C389" s="18"/>
      <c r="D389" s="18"/>
      <c r="E389" s="18"/>
      <c r="F389" s="18"/>
      <c r="G389" s="18"/>
      <c r="H389" s="95"/>
      <c r="I389" s="18"/>
    </row>
    <row r="390" spans="1:9">
      <c r="A390" s="16"/>
      <c r="B390" s="17"/>
      <c r="C390" s="18"/>
      <c r="D390" s="18"/>
      <c r="E390" s="18"/>
      <c r="F390" s="18"/>
      <c r="G390" s="18"/>
      <c r="H390" s="95"/>
      <c r="I390" s="18"/>
    </row>
    <row r="391" spans="1:9">
      <c r="A391" s="16"/>
      <c r="B391" s="17"/>
      <c r="C391" s="18"/>
      <c r="D391" s="18"/>
      <c r="E391" s="18"/>
      <c r="F391" s="18"/>
      <c r="G391" s="18"/>
      <c r="H391" s="95"/>
      <c r="I391" s="18"/>
    </row>
  </sheetData>
  <mergeCells count="57">
    <mergeCell ref="H349:H355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83:H89"/>
    <mergeCell ref="H90:H96"/>
    <mergeCell ref="H97:H103"/>
    <mergeCell ref="H104:H110"/>
    <mergeCell ref="H111:H117"/>
    <mergeCell ref="H202:H208"/>
    <mergeCell ref="H209:H215"/>
    <mergeCell ref="H216:H222"/>
    <mergeCell ref="H223:H229"/>
    <mergeCell ref="H118:H124"/>
    <mergeCell ref="H125:H131"/>
    <mergeCell ref="H132:H138"/>
    <mergeCell ref="H139:H145"/>
    <mergeCell ref="H195:H201"/>
    <mergeCell ref="H160:H166"/>
    <mergeCell ref="H167:H173"/>
    <mergeCell ref="H174:H180"/>
    <mergeCell ref="H181:H187"/>
    <mergeCell ref="H188:H194"/>
    <mergeCell ref="H76:H82"/>
    <mergeCell ref="H2:H5"/>
    <mergeCell ref="H6:H12"/>
    <mergeCell ref="H13:H19"/>
    <mergeCell ref="H20:H26"/>
    <mergeCell ref="H27:H33"/>
    <mergeCell ref="K10:O18"/>
    <mergeCell ref="H34:H40"/>
    <mergeCell ref="H386:H391"/>
    <mergeCell ref="H368:H373"/>
    <mergeCell ref="H374:H379"/>
    <mergeCell ref="H380:H385"/>
    <mergeCell ref="H356:H362"/>
    <mergeCell ref="H230:H236"/>
    <mergeCell ref="H237:H243"/>
    <mergeCell ref="H146:H152"/>
    <mergeCell ref="H153:H159"/>
    <mergeCell ref="H41:H47"/>
    <mergeCell ref="H48:H54"/>
    <mergeCell ref="H55:H61"/>
    <mergeCell ref="H62:H68"/>
    <mergeCell ref="H69:H7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9436-F50E-4AFB-8D75-48E5EC39A051}">
  <dimension ref="A1:O367"/>
  <sheetViews>
    <sheetView topLeftCell="A102" workbookViewId="0">
      <selection activeCell="C124" sqref="C124"/>
    </sheetView>
  </sheetViews>
  <sheetFormatPr defaultRowHeight="15"/>
  <cols>
    <col min="1" max="1" width="10.42578125" style="4" bestFit="1" customWidth="1"/>
    <col min="2" max="2" width="12.85546875" style="4" bestFit="1" customWidth="1"/>
    <col min="3" max="3" width="5.42578125" style="4" bestFit="1" customWidth="1"/>
    <col min="4" max="4" width="7.42578125" style="4" bestFit="1" customWidth="1"/>
    <col min="5" max="5" width="24.7109375" style="4" bestFit="1" customWidth="1"/>
    <col min="6" max="6" width="5" style="4" bestFit="1" customWidth="1"/>
    <col min="7" max="7" width="11.85546875" style="4" bestFit="1" customWidth="1"/>
    <col min="8" max="8" width="10.5703125" style="4" bestFit="1" customWidth="1"/>
    <col min="9" max="9" width="11.42578125" style="4" bestFit="1" customWidth="1"/>
    <col min="10" max="16384" width="9.140625" style="4"/>
  </cols>
  <sheetData>
    <row r="1" spans="1:15">
      <c r="A1" s="13" t="s">
        <v>91</v>
      </c>
      <c r="B1" s="13" t="s">
        <v>0</v>
      </c>
      <c r="C1" s="13" t="s">
        <v>92</v>
      </c>
      <c r="D1" s="13" t="s">
        <v>93</v>
      </c>
      <c r="E1" s="13" t="s">
        <v>94</v>
      </c>
      <c r="F1" s="13" t="s">
        <v>95</v>
      </c>
      <c r="G1" s="14" t="s">
        <v>96</v>
      </c>
      <c r="H1" s="13" t="s">
        <v>97</v>
      </c>
      <c r="I1" s="13" t="s">
        <v>98</v>
      </c>
    </row>
    <row r="2" spans="1:15">
      <c r="A2" s="7">
        <v>46023</v>
      </c>
      <c r="B2" s="5" t="s">
        <v>101</v>
      </c>
      <c r="C2" s="5">
        <v>17</v>
      </c>
      <c r="D2" s="5">
        <v>0</v>
      </c>
      <c r="E2" s="5">
        <v>0</v>
      </c>
      <c r="F2" s="5">
        <v>0</v>
      </c>
      <c r="G2" s="6">
        <f>SUM(F2,E2,C2-D2)</f>
        <v>17</v>
      </c>
      <c r="H2" s="91">
        <f>SUM(G2:G5)</f>
        <v>49</v>
      </c>
      <c r="I2" s="8"/>
    </row>
    <row r="3" spans="1:15">
      <c r="A3" s="7">
        <v>46024</v>
      </c>
      <c r="B3" s="5" t="s">
        <v>101</v>
      </c>
      <c r="C3" s="5">
        <v>16</v>
      </c>
      <c r="D3" s="5">
        <v>1</v>
      </c>
      <c r="E3" s="5">
        <v>0</v>
      </c>
      <c r="F3" s="5">
        <v>0</v>
      </c>
      <c r="G3" s="6">
        <f t="shared" ref="G3:G66" si="0">SUM(F3,E3,C3-D3)</f>
        <v>15</v>
      </c>
      <c r="H3" s="92"/>
      <c r="I3" s="8"/>
    </row>
    <row r="4" spans="1:15">
      <c r="A4" s="7">
        <v>46025</v>
      </c>
      <c r="B4" s="5" t="s">
        <v>101</v>
      </c>
      <c r="C4" s="5">
        <v>13</v>
      </c>
      <c r="D4" s="5">
        <v>4</v>
      </c>
      <c r="E4" s="5">
        <v>0</v>
      </c>
      <c r="F4" s="5">
        <v>0</v>
      </c>
      <c r="G4" s="6">
        <f t="shared" si="0"/>
        <v>9</v>
      </c>
      <c r="H4" s="92"/>
      <c r="I4" s="8"/>
    </row>
    <row r="5" spans="1:15">
      <c r="A5" s="7">
        <v>46026</v>
      </c>
      <c r="B5" s="5" t="s">
        <v>101</v>
      </c>
      <c r="C5" s="5">
        <v>9</v>
      </c>
      <c r="D5" s="5">
        <v>1</v>
      </c>
      <c r="E5" s="5">
        <v>0</v>
      </c>
      <c r="F5" s="5">
        <v>0</v>
      </c>
      <c r="G5" s="6">
        <f t="shared" si="0"/>
        <v>8</v>
      </c>
      <c r="H5" s="93"/>
      <c r="I5" s="8"/>
    </row>
    <row r="6" spans="1:15">
      <c r="A6" s="7">
        <v>46027</v>
      </c>
      <c r="B6" s="5" t="s">
        <v>101</v>
      </c>
      <c r="C6" s="5">
        <v>19</v>
      </c>
      <c r="D6" s="5">
        <v>1</v>
      </c>
      <c r="E6" s="5">
        <v>0</v>
      </c>
      <c r="F6" s="5">
        <v>0</v>
      </c>
      <c r="G6" s="6">
        <f t="shared" si="0"/>
        <v>18</v>
      </c>
      <c r="H6" s="91">
        <f>SUM(G6:G12)</f>
        <v>76</v>
      </c>
      <c r="I6" s="8"/>
    </row>
    <row r="7" spans="1:15">
      <c r="A7" s="7">
        <v>46028</v>
      </c>
      <c r="B7" s="5" t="s">
        <v>101</v>
      </c>
      <c r="C7" s="5">
        <v>12</v>
      </c>
      <c r="D7" s="5">
        <v>2</v>
      </c>
      <c r="E7" s="5">
        <v>0</v>
      </c>
      <c r="F7" s="5">
        <v>0</v>
      </c>
      <c r="G7" s="6">
        <f t="shared" si="0"/>
        <v>10</v>
      </c>
      <c r="H7" s="92"/>
      <c r="I7" s="8"/>
    </row>
    <row r="8" spans="1:15">
      <c r="A8" s="7">
        <v>46029</v>
      </c>
      <c r="B8" s="5" t="s">
        <v>101</v>
      </c>
      <c r="C8" s="5">
        <v>12</v>
      </c>
      <c r="D8" s="5">
        <v>3</v>
      </c>
      <c r="E8" s="5">
        <v>0</v>
      </c>
      <c r="F8" s="5">
        <v>0</v>
      </c>
      <c r="G8" s="6">
        <f t="shared" si="0"/>
        <v>9</v>
      </c>
      <c r="H8" s="92"/>
      <c r="I8" s="8"/>
    </row>
    <row r="9" spans="1:15">
      <c r="A9" s="7">
        <v>46030</v>
      </c>
      <c r="B9" s="5" t="s">
        <v>101</v>
      </c>
      <c r="C9" s="5">
        <v>13</v>
      </c>
      <c r="D9" s="5">
        <v>1</v>
      </c>
      <c r="E9" s="5">
        <v>0</v>
      </c>
      <c r="F9" s="5">
        <v>0</v>
      </c>
      <c r="G9" s="6">
        <f t="shared" si="0"/>
        <v>12</v>
      </c>
      <c r="H9" s="92"/>
      <c r="I9" s="8"/>
      <c r="K9" s="87" t="s">
        <v>99</v>
      </c>
      <c r="L9" s="88"/>
      <c r="M9" s="88"/>
      <c r="N9" s="88"/>
      <c r="O9" s="88"/>
    </row>
    <row r="10" spans="1:15">
      <c r="A10" s="7">
        <v>46031</v>
      </c>
      <c r="B10" s="5" t="s">
        <v>101</v>
      </c>
      <c r="C10" s="5">
        <v>12</v>
      </c>
      <c r="D10" s="5">
        <v>1</v>
      </c>
      <c r="E10" s="5">
        <v>0</v>
      </c>
      <c r="F10" s="5">
        <v>0</v>
      </c>
      <c r="G10" s="6">
        <f t="shared" si="0"/>
        <v>11</v>
      </c>
      <c r="H10" s="92"/>
      <c r="I10" s="8"/>
      <c r="K10" s="88"/>
      <c r="L10" s="88"/>
      <c r="M10" s="88"/>
      <c r="N10" s="88"/>
      <c r="O10" s="88"/>
    </row>
    <row r="11" spans="1:15">
      <c r="A11" s="7">
        <v>46032</v>
      </c>
      <c r="B11" s="5" t="s">
        <v>101</v>
      </c>
      <c r="C11" s="5">
        <v>10</v>
      </c>
      <c r="D11" s="5">
        <v>1</v>
      </c>
      <c r="E11" s="5">
        <v>0</v>
      </c>
      <c r="F11" s="5">
        <v>0</v>
      </c>
      <c r="G11" s="6">
        <f t="shared" si="0"/>
        <v>9</v>
      </c>
      <c r="H11" s="92"/>
      <c r="I11" s="8"/>
      <c r="K11" s="88"/>
      <c r="L11" s="88"/>
      <c r="M11" s="88"/>
      <c r="N11" s="88"/>
      <c r="O11" s="88"/>
    </row>
    <row r="12" spans="1:15">
      <c r="A12" s="7">
        <v>46033</v>
      </c>
      <c r="B12" s="5" t="s">
        <v>101</v>
      </c>
      <c r="C12" s="5">
        <v>11</v>
      </c>
      <c r="D12" s="5">
        <v>4</v>
      </c>
      <c r="E12" s="5">
        <v>0</v>
      </c>
      <c r="F12" s="5">
        <v>0</v>
      </c>
      <c r="G12" s="6">
        <f t="shared" si="0"/>
        <v>7</v>
      </c>
      <c r="H12" s="93"/>
      <c r="I12" s="8"/>
      <c r="K12" s="88"/>
      <c r="L12" s="88"/>
      <c r="M12" s="88"/>
      <c r="N12" s="88"/>
      <c r="O12" s="88"/>
    </row>
    <row r="13" spans="1:15">
      <c r="A13" s="7">
        <v>46034</v>
      </c>
      <c r="B13" s="5" t="s">
        <v>101</v>
      </c>
      <c r="C13" s="5">
        <v>11</v>
      </c>
      <c r="D13" s="5">
        <v>4</v>
      </c>
      <c r="E13" s="5">
        <v>0</v>
      </c>
      <c r="F13" s="5">
        <v>0</v>
      </c>
      <c r="G13" s="6">
        <f t="shared" si="0"/>
        <v>7</v>
      </c>
      <c r="H13" s="91">
        <f>SUM(G13:G19)</f>
        <v>138</v>
      </c>
      <c r="I13" s="8"/>
      <c r="K13" s="88"/>
      <c r="L13" s="88"/>
      <c r="M13" s="88"/>
      <c r="N13" s="88"/>
      <c r="O13" s="88"/>
    </row>
    <row r="14" spans="1:15">
      <c r="A14" s="7">
        <v>46035</v>
      </c>
      <c r="B14" s="5" t="s">
        <v>101</v>
      </c>
      <c r="C14" s="5">
        <v>6</v>
      </c>
      <c r="D14" s="5">
        <v>3</v>
      </c>
      <c r="E14" s="5">
        <v>0</v>
      </c>
      <c r="F14" s="5">
        <v>0</v>
      </c>
      <c r="G14" s="6">
        <f t="shared" si="0"/>
        <v>3</v>
      </c>
      <c r="H14" s="92"/>
      <c r="I14" s="8"/>
      <c r="K14" s="88"/>
      <c r="L14" s="88"/>
      <c r="M14" s="88"/>
      <c r="N14" s="88"/>
      <c r="O14" s="88"/>
    </row>
    <row r="15" spans="1:15">
      <c r="A15" s="7">
        <v>46036</v>
      </c>
      <c r="B15" s="5" t="s">
        <v>101</v>
      </c>
      <c r="C15" s="5">
        <v>7</v>
      </c>
      <c r="D15" s="5">
        <v>3</v>
      </c>
      <c r="E15" s="5">
        <v>0</v>
      </c>
      <c r="F15" s="5">
        <v>0</v>
      </c>
      <c r="G15" s="6">
        <f t="shared" si="0"/>
        <v>4</v>
      </c>
      <c r="H15" s="92"/>
      <c r="I15" s="8"/>
      <c r="K15" s="88"/>
      <c r="L15" s="88"/>
      <c r="M15" s="88"/>
      <c r="N15" s="88"/>
      <c r="O15" s="88"/>
    </row>
    <row r="16" spans="1:15">
      <c r="A16" s="7">
        <v>46037</v>
      </c>
      <c r="B16" s="5" t="s">
        <v>101</v>
      </c>
      <c r="C16" s="5">
        <v>63</v>
      </c>
      <c r="D16" s="5">
        <v>5</v>
      </c>
      <c r="E16" s="5">
        <v>0</v>
      </c>
      <c r="F16" s="5">
        <v>0</v>
      </c>
      <c r="G16" s="6">
        <f t="shared" si="0"/>
        <v>58</v>
      </c>
      <c r="H16" s="92"/>
      <c r="I16" s="8"/>
      <c r="K16" s="88"/>
      <c r="L16" s="88"/>
      <c r="M16" s="88"/>
      <c r="N16" s="88"/>
      <c r="O16" s="88"/>
    </row>
    <row r="17" spans="1:15">
      <c r="A17" s="7">
        <v>46038</v>
      </c>
      <c r="B17" s="5" t="s">
        <v>101</v>
      </c>
      <c r="C17" s="5">
        <v>38</v>
      </c>
      <c r="D17" s="5">
        <v>0</v>
      </c>
      <c r="E17" s="5">
        <v>0</v>
      </c>
      <c r="F17" s="5">
        <v>0</v>
      </c>
      <c r="G17" s="6">
        <f t="shared" si="0"/>
        <v>38</v>
      </c>
      <c r="H17" s="92"/>
      <c r="I17" s="8"/>
      <c r="K17" s="88"/>
      <c r="L17" s="88"/>
      <c r="M17" s="88"/>
      <c r="N17" s="88"/>
      <c r="O17" s="88"/>
    </row>
    <row r="18" spans="1:15">
      <c r="A18" s="7">
        <v>46039</v>
      </c>
      <c r="B18" s="5" t="s">
        <v>101</v>
      </c>
      <c r="C18" s="5">
        <v>15</v>
      </c>
      <c r="D18" s="5">
        <v>2</v>
      </c>
      <c r="E18" s="5">
        <v>0</v>
      </c>
      <c r="F18" s="5">
        <v>0</v>
      </c>
      <c r="G18" s="6">
        <f t="shared" si="0"/>
        <v>13</v>
      </c>
      <c r="H18" s="92"/>
      <c r="I18" s="8"/>
    </row>
    <row r="19" spans="1:15">
      <c r="A19" s="7">
        <v>46040</v>
      </c>
      <c r="B19" s="5" t="s">
        <v>101</v>
      </c>
      <c r="C19" s="5">
        <v>16</v>
      </c>
      <c r="D19" s="5">
        <v>1</v>
      </c>
      <c r="E19" s="5">
        <v>0</v>
      </c>
      <c r="F19" s="5">
        <v>0</v>
      </c>
      <c r="G19" s="6">
        <f t="shared" si="0"/>
        <v>15</v>
      </c>
      <c r="H19" s="93"/>
      <c r="I19" s="8"/>
    </row>
    <row r="20" spans="1:15">
      <c r="A20" s="7">
        <v>46041</v>
      </c>
      <c r="B20" s="5" t="s">
        <v>101</v>
      </c>
      <c r="C20" s="5">
        <v>14</v>
      </c>
      <c r="D20" s="5">
        <v>2</v>
      </c>
      <c r="E20" s="5">
        <v>0</v>
      </c>
      <c r="F20" s="5">
        <v>0</v>
      </c>
      <c r="G20" s="6">
        <f t="shared" si="0"/>
        <v>12</v>
      </c>
      <c r="H20" s="91">
        <f>SUM(G20:G26)</f>
        <v>33</v>
      </c>
      <c r="I20" s="8"/>
    </row>
    <row r="21" spans="1:15">
      <c r="A21" s="7">
        <v>46042</v>
      </c>
      <c r="B21" s="5" t="s">
        <v>101</v>
      </c>
      <c r="C21" s="5">
        <v>9</v>
      </c>
      <c r="D21" s="5">
        <v>3</v>
      </c>
      <c r="E21" s="5">
        <v>0</v>
      </c>
      <c r="F21" s="5">
        <v>0</v>
      </c>
      <c r="G21" s="6">
        <f t="shared" si="0"/>
        <v>6</v>
      </c>
      <c r="H21" s="92"/>
      <c r="I21" s="8"/>
    </row>
    <row r="22" spans="1:15">
      <c r="A22" s="7">
        <v>46043</v>
      </c>
      <c r="B22" s="5" t="s">
        <v>101</v>
      </c>
      <c r="C22" s="5">
        <v>6</v>
      </c>
      <c r="D22" s="5">
        <v>2</v>
      </c>
      <c r="E22" s="5">
        <v>0</v>
      </c>
      <c r="F22" s="5">
        <v>0</v>
      </c>
      <c r="G22" s="6">
        <f t="shared" si="0"/>
        <v>4</v>
      </c>
      <c r="H22" s="92"/>
      <c r="I22" s="8"/>
    </row>
    <row r="23" spans="1:15">
      <c r="A23" s="7">
        <v>46044</v>
      </c>
      <c r="B23" s="5" t="s">
        <v>101</v>
      </c>
      <c r="C23" s="5">
        <v>2</v>
      </c>
      <c r="D23" s="5">
        <v>2</v>
      </c>
      <c r="E23" s="5">
        <v>0</v>
      </c>
      <c r="F23" s="5">
        <v>0</v>
      </c>
      <c r="G23" s="6">
        <f t="shared" si="0"/>
        <v>0</v>
      </c>
      <c r="H23" s="92"/>
      <c r="I23" s="8"/>
    </row>
    <row r="24" spans="1:15">
      <c r="A24" s="7">
        <v>46045</v>
      </c>
      <c r="B24" s="5" t="s">
        <v>101</v>
      </c>
      <c r="C24" s="5">
        <v>3</v>
      </c>
      <c r="D24" s="5">
        <v>3</v>
      </c>
      <c r="E24" s="5">
        <v>0</v>
      </c>
      <c r="F24" s="5">
        <v>0</v>
      </c>
      <c r="G24" s="6">
        <f t="shared" si="0"/>
        <v>0</v>
      </c>
      <c r="H24" s="92"/>
      <c r="I24" s="8"/>
    </row>
    <row r="25" spans="1:15">
      <c r="A25" s="7">
        <v>46046</v>
      </c>
      <c r="B25" s="5" t="s">
        <v>101</v>
      </c>
      <c r="C25" s="5">
        <v>7</v>
      </c>
      <c r="D25" s="5">
        <v>3</v>
      </c>
      <c r="E25" s="5">
        <v>0</v>
      </c>
      <c r="F25" s="5">
        <v>0</v>
      </c>
      <c r="G25" s="6">
        <f t="shared" si="0"/>
        <v>4</v>
      </c>
      <c r="H25" s="92"/>
      <c r="I25" s="8"/>
    </row>
    <row r="26" spans="1:15">
      <c r="A26" s="7">
        <v>46047</v>
      </c>
      <c r="B26" s="5" t="s">
        <v>101</v>
      </c>
      <c r="C26" s="5">
        <v>7</v>
      </c>
      <c r="D26" s="5">
        <v>0</v>
      </c>
      <c r="E26" s="5">
        <v>0</v>
      </c>
      <c r="F26" s="5">
        <v>0</v>
      </c>
      <c r="G26" s="6">
        <f t="shared" si="0"/>
        <v>7</v>
      </c>
      <c r="H26" s="93"/>
      <c r="I26" s="8"/>
    </row>
    <row r="27" spans="1:15">
      <c r="A27" s="7">
        <v>46048</v>
      </c>
      <c r="B27" s="5" t="s">
        <v>101</v>
      </c>
      <c r="C27" s="5">
        <v>1</v>
      </c>
      <c r="D27" s="5">
        <v>2</v>
      </c>
      <c r="E27" s="5">
        <v>0</v>
      </c>
      <c r="F27" s="5">
        <v>0</v>
      </c>
      <c r="G27" s="6">
        <f t="shared" si="0"/>
        <v>-1</v>
      </c>
      <c r="H27" s="91">
        <f>SUM(G27:G33)</f>
        <v>-2</v>
      </c>
      <c r="I27" s="8"/>
    </row>
    <row r="28" spans="1:15">
      <c r="A28" s="7">
        <v>46049</v>
      </c>
      <c r="B28" s="5" t="s">
        <v>101</v>
      </c>
      <c r="C28" s="5">
        <v>1</v>
      </c>
      <c r="D28" s="5">
        <v>2</v>
      </c>
      <c r="E28" s="5">
        <v>0</v>
      </c>
      <c r="F28" s="5">
        <v>0</v>
      </c>
      <c r="G28" s="6">
        <f t="shared" si="0"/>
        <v>-1</v>
      </c>
      <c r="H28" s="92"/>
      <c r="I28" s="8"/>
    </row>
    <row r="29" spans="1:15">
      <c r="A29" s="7">
        <v>46050</v>
      </c>
      <c r="B29" s="5" t="s">
        <v>101</v>
      </c>
      <c r="C29" s="5">
        <v>0</v>
      </c>
      <c r="D29" s="5">
        <v>1</v>
      </c>
      <c r="E29" s="5">
        <v>0</v>
      </c>
      <c r="F29" s="5">
        <v>0</v>
      </c>
      <c r="G29" s="6">
        <f t="shared" si="0"/>
        <v>-1</v>
      </c>
      <c r="H29" s="92"/>
      <c r="I29" s="8"/>
    </row>
    <row r="30" spans="1:15">
      <c r="A30" s="7">
        <v>46051</v>
      </c>
      <c r="B30" s="5" t="s">
        <v>101</v>
      </c>
      <c r="C30" s="5">
        <v>2</v>
      </c>
      <c r="D30" s="5">
        <v>4</v>
      </c>
      <c r="E30" s="5">
        <v>0</v>
      </c>
      <c r="F30" s="5">
        <v>0</v>
      </c>
      <c r="G30" s="6">
        <f t="shared" si="0"/>
        <v>-2</v>
      </c>
      <c r="H30" s="92"/>
      <c r="I30" s="8"/>
    </row>
    <row r="31" spans="1:15">
      <c r="A31" s="7">
        <v>46052</v>
      </c>
      <c r="B31" s="5" t="s">
        <v>101</v>
      </c>
      <c r="C31" s="5">
        <v>1</v>
      </c>
      <c r="D31" s="5">
        <v>1</v>
      </c>
      <c r="E31" s="5">
        <v>0</v>
      </c>
      <c r="F31" s="5">
        <v>0</v>
      </c>
      <c r="G31" s="6">
        <f t="shared" si="0"/>
        <v>0</v>
      </c>
      <c r="H31" s="92"/>
      <c r="I31" s="8"/>
    </row>
    <row r="32" spans="1:15">
      <c r="A32" s="7">
        <v>46053</v>
      </c>
      <c r="B32" s="5" t="s">
        <v>101</v>
      </c>
      <c r="C32" s="5">
        <v>2</v>
      </c>
      <c r="D32" s="5">
        <v>1</v>
      </c>
      <c r="E32" s="5">
        <v>0</v>
      </c>
      <c r="F32" s="5">
        <v>0</v>
      </c>
      <c r="G32" s="6">
        <f t="shared" si="0"/>
        <v>1</v>
      </c>
      <c r="H32" s="92"/>
      <c r="I32" s="8"/>
    </row>
    <row r="33" spans="1:9">
      <c r="A33" s="7">
        <v>46054</v>
      </c>
      <c r="B33" s="5" t="s">
        <v>101</v>
      </c>
      <c r="C33" s="5">
        <v>4</v>
      </c>
      <c r="D33" s="5">
        <v>2</v>
      </c>
      <c r="E33" s="5">
        <v>0</v>
      </c>
      <c r="F33" s="5">
        <v>0</v>
      </c>
      <c r="G33" s="6">
        <f t="shared" si="0"/>
        <v>2</v>
      </c>
      <c r="H33" s="93"/>
      <c r="I33" s="8"/>
    </row>
    <row r="34" spans="1:9">
      <c r="A34" s="7">
        <v>46055</v>
      </c>
      <c r="B34" s="5" t="s">
        <v>101</v>
      </c>
      <c r="C34" s="5">
        <v>3</v>
      </c>
      <c r="D34" s="5">
        <v>2</v>
      </c>
      <c r="E34" s="5">
        <v>0</v>
      </c>
      <c r="F34" s="5">
        <v>0</v>
      </c>
      <c r="G34" s="6">
        <f t="shared" si="0"/>
        <v>1</v>
      </c>
      <c r="H34" s="91">
        <f>SUM(G34:G40)</f>
        <v>12</v>
      </c>
      <c r="I34" s="8"/>
    </row>
    <row r="35" spans="1:9">
      <c r="A35" s="7">
        <v>46056</v>
      </c>
      <c r="B35" s="5" t="s">
        <v>101</v>
      </c>
      <c r="C35" s="5">
        <v>6</v>
      </c>
      <c r="D35" s="5">
        <v>2</v>
      </c>
      <c r="E35" s="5">
        <v>0</v>
      </c>
      <c r="F35" s="5">
        <v>0</v>
      </c>
      <c r="G35" s="6">
        <f t="shared" si="0"/>
        <v>4</v>
      </c>
      <c r="H35" s="92"/>
      <c r="I35" s="8"/>
    </row>
    <row r="36" spans="1:9">
      <c r="A36" s="7">
        <v>46057</v>
      </c>
      <c r="B36" s="5" t="s">
        <v>101</v>
      </c>
      <c r="C36" s="5">
        <v>0</v>
      </c>
      <c r="D36" s="5">
        <v>1</v>
      </c>
      <c r="E36" s="5">
        <v>0</v>
      </c>
      <c r="F36" s="5">
        <v>0</v>
      </c>
      <c r="G36" s="6">
        <f t="shared" si="0"/>
        <v>-1</v>
      </c>
      <c r="H36" s="92"/>
      <c r="I36" s="8"/>
    </row>
    <row r="37" spans="1:9">
      <c r="A37" s="7">
        <v>46058</v>
      </c>
      <c r="B37" s="5" t="s">
        <v>101</v>
      </c>
      <c r="C37" s="5">
        <v>3</v>
      </c>
      <c r="D37" s="5">
        <v>2</v>
      </c>
      <c r="E37" s="5">
        <v>0</v>
      </c>
      <c r="F37" s="5">
        <v>0</v>
      </c>
      <c r="G37" s="6">
        <f t="shared" si="0"/>
        <v>1</v>
      </c>
      <c r="H37" s="92"/>
      <c r="I37" s="8"/>
    </row>
    <row r="38" spans="1:9">
      <c r="A38" s="7">
        <v>46059</v>
      </c>
      <c r="B38" s="5" t="s">
        <v>101</v>
      </c>
      <c r="C38" s="5">
        <v>5</v>
      </c>
      <c r="D38" s="5">
        <v>5</v>
      </c>
      <c r="E38" s="5">
        <v>0</v>
      </c>
      <c r="F38" s="5">
        <v>0</v>
      </c>
      <c r="G38" s="6">
        <f t="shared" si="0"/>
        <v>0</v>
      </c>
      <c r="H38" s="92"/>
      <c r="I38" s="8"/>
    </row>
    <row r="39" spans="1:9">
      <c r="A39" s="7">
        <v>46060</v>
      </c>
      <c r="B39" s="5" t="s">
        <v>101</v>
      </c>
      <c r="C39" s="5">
        <v>6</v>
      </c>
      <c r="D39" s="5">
        <v>3</v>
      </c>
      <c r="E39" s="5">
        <v>0</v>
      </c>
      <c r="F39" s="5">
        <v>0</v>
      </c>
      <c r="G39" s="6">
        <f t="shared" si="0"/>
        <v>3</v>
      </c>
      <c r="H39" s="92"/>
      <c r="I39" s="8"/>
    </row>
    <row r="40" spans="1:9">
      <c r="A40" s="7">
        <v>46061</v>
      </c>
      <c r="B40" s="5" t="s">
        <v>101</v>
      </c>
      <c r="C40" s="5">
        <v>5</v>
      </c>
      <c r="D40" s="5">
        <v>1</v>
      </c>
      <c r="E40" s="5">
        <v>0</v>
      </c>
      <c r="F40" s="5">
        <v>0</v>
      </c>
      <c r="G40" s="6">
        <f t="shared" si="0"/>
        <v>4</v>
      </c>
      <c r="H40" s="93"/>
      <c r="I40" s="8"/>
    </row>
    <row r="41" spans="1:9">
      <c r="A41" s="7">
        <v>46062</v>
      </c>
      <c r="B41" s="5" t="s">
        <v>101</v>
      </c>
      <c r="C41" s="5">
        <v>3</v>
      </c>
      <c r="D41" s="5">
        <v>0</v>
      </c>
      <c r="E41" s="5">
        <v>0</v>
      </c>
      <c r="F41" s="5">
        <v>0</v>
      </c>
      <c r="G41" s="6">
        <f t="shared" si="0"/>
        <v>3</v>
      </c>
      <c r="H41" s="91">
        <f>SUM(G41:G47)</f>
        <v>1</v>
      </c>
      <c r="I41" s="8"/>
    </row>
    <row r="42" spans="1:9">
      <c r="A42" s="7">
        <v>46063</v>
      </c>
      <c r="B42" s="5" t="s">
        <v>101</v>
      </c>
      <c r="C42" s="5">
        <v>3</v>
      </c>
      <c r="D42" s="5">
        <v>1</v>
      </c>
      <c r="E42" s="5">
        <v>0</v>
      </c>
      <c r="F42" s="5">
        <v>0</v>
      </c>
      <c r="G42" s="6">
        <f t="shared" si="0"/>
        <v>2</v>
      </c>
      <c r="H42" s="92"/>
      <c r="I42" s="8"/>
    </row>
    <row r="43" spans="1:9">
      <c r="A43" s="7">
        <v>46064</v>
      </c>
      <c r="B43" s="5" t="s">
        <v>101</v>
      </c>
      <c r="C43" s="5">
        <v>2</v>
      </c>
      <c r="D43" s="5">
        <v>3</v>
      </c>
      <c r="E43" s="5">
        <v>0</v>
      </c>
      <c r="F43" s="5">
        <v>0</v>
      </c>
      <c r="G43" s="6">
        <f t="shared" si="0"/>
        <v>-1</v>
      </c>
      <c r="H43" s="92"/>
      <c r="I43" s="8"/>
    </row>
    <row r="44" spans="1:9">
      <c r="A44" s="7">
        <v>46065</v>
      </c>
      <c r="B44" s="5" t="s">
        <v>101</v>
      </c>
      <c r="C44" s="5">
        <v>0</v>
      </c>
      <c r="D44" s="5">
        <v>2</v>
      </c>
      <c r="E44" s="5">
        <v>0</v>
      </c>
      <c r="F44" s="5">
        <v>0</v>
      </c>
      <c r="G44" s="6">
        <f t="shared" si="0"/>
        <v>-2</v>
      </c>
      <c r="H44" s="92"/>
      <c r="I44" s="8"/>
    </row>
    <row r="45" spans="1:9">
      <c r="A45" s="7">
        <v>46066</v>
      </c>
      <c r="B45" s="5" t="s">
        <v>101</v>
      </c>
      <c r="C45" s="5">
        <v>2</v>
      </c>
      <c r="D45" s="5">
        <v>2</v>
      </c>
      <c r="E45" s="5">
        <v>0</v>
      </c>
      <c r="F45" s="5">
        <v>0</v>
      </c>
      <c r="G45" s="6">
        <f t="shared" si="0"/>
        <v>0</v>
      </c>
      <c r="H45" s="92"/>
      <c r="I45" s="8"/>
    </row>
    <row r="46" spans="1:9">
      <c r="A46" s="7">
        <v>46067</v>
      </c>
      <c r="B46" s="5" t="s">
        <v>101</v>
      </c>
      <c r="C46" s="5">
        <v>3</v>
      </c>
      <c r="D46" s="5">
        <v>5</v>
      </c>
      <c r="E46" s="5">
        <v>0</v>
      </c>
      <c r="F46" s="5">
        <v>0</v>
      </c>
      <c r="G46" s="6">
        <f t="shared" si="0"/>
        <v>-2</v>
      </c>
      <c r="H46" s="92"/>
      <c r="I46" s="8"/>
    </row>
    <row r="47" spans="1:9">
      <c r="A47" s="7">
        <v>46068</v>
      </c>
      <c r="B47" s="5" t="s">
        <v>101</v>
      </c>
      <c r="C47" s="5">
        <v>9</v>
      </c>
      <c r="D47" s="5">
        <v>8</v>
      </c>
      <c r="E47" s="5">
        <v>0</v>
      </c>
      <c r="F47" s="5">
        <v>0</v>
      </c>
      <c r="G47" s="6">
        <f t="shared" si="0"/>
        <v>1</v>
      </c>
      <c r="H47" s="93"/>
      <c r="I47" s="8"/>
    </row>
    <row r="48" spans="1:9">
      <c r="A48" s="7">
        <v>46069</v>
      </c>
      <c r="B48" s="5" t="s">
        <v>101</v>
      </c>
      <c r="C48" s="5">
        <v>2</v>
      </c>
      <c r="D48" s="5">
        <v>2</v>
      </c>
      <c r="E48" s="5">
        <v>0</v>
      </c>
      <c r="F48" s="5">
        <v>0</v>
      </c>
      <c r="G48" s="6">
        <f t="shared" si="0"/>
        <v>0</v>
      </c>
      <c r="H48" s="91">
        <f>SUM(G48:G54)</f>
        <v>0</v>
      </c>
      <c r="I48" s="8"/>
    </row>
    <row r="49" spans="1:9">
      <c r="A49" s="7">
        <v>46070</v>
      </c>
      <c r="B49" s="5" t="s">
        <v>101</v>
      </c>
      <c r="C49" s="5">
        <v>2</v>
      </c>
      <c r="D49" s="5">
        <v>2</v>
      </c>
      <c r="E49" s="5">
        <v>0</v>
      </c>
      <c r="F49" s="5">
        <v>0</v>
      </c>
      <c r="G49" s="6">
        <f t="shared" si="0"/>
        <v>0</v>
      </c>
      <c r="H49" s="92"/>
      <c r="I49" s="8"/>
    </row>
    <row r="50" spans="1:9">
      <c r="A50" s="7">
        <v>46071</v>
      </c>
      <c r="B50" s="5" t="s">
        <v>101</v>
      </c>
      <c r="C50" s="5">
        <v>0</v>
      </c>
      <c r="D50" s="5">
        <v>1</v>
      </c>
      <c r="E50" s="5">
        <v>0</v>
      </c>
      <c r="F50" s="5">
        <v>0</v>
      </c>
      <c r="G50" s="6">
        <f t="shared" si="0"/>
        <v>-1</v>
      </c>
      <c r="H50" s="92"/>
      <c r="I50" s="8"/>
    </row>
    <row r="51" spans="1:9">
      <c r="A51" s="7">
        <v>46072</v>
      </c>
      <c r="B51" s="5" t="s">
        <v>101</v>
      </c>
      <c r="C51" s="5">
        <v>2</v>
      </c>
      <c r="D51" s="5">
        <v>0</v>
      </c>
      <c r="E51" s="5">
        <v>0</v>
      </c>
      <c r="F51" s="5">
        <v>0</v>
      </c>
      <c r="G51" s="6">
        <f t="shared" si="0"/>
        <v>2</v>
      </c>
      <c r="H51" s="92"/>
      <c r="I51" s="8"/>
    </row>
    <row r="52" spans="1:9">
      <c r="A52" s="7">
        <v>46073</v>
      </c>
      <c r="B52" s="5" t="s">
        <v>101</v>
      </c>
      <c r="C52" s="5">
        <v>2</v>
      </c>
      <c r="D52" s="5">
        <v>1</v>
      </c>
      <c r="E52" s="5">
        <v>0</v>
      </c>
      <c r="F52" s="5">
        <v>0</v>
      </c>
      <c r="G52" s="6">
        <f t="shared" si="0"/>
        <v>1</v>
      </c>
      <c r="H52" s="92"/>
      <c r="I52" s="8"/>
    </row>
    <row r="53" spans="1:9">
      <c r="A53" s="7">
        <v>46074</v>
      </c>
      <c r="B53" s="5" t="s">
        <v>101</v>
      </c>
      <c r="C53" s="5">
        <v>1</v>
      </c>
      <c r="D53" s="5">
        <v>2</v>
      </c>
      <c r="E53" s="5">
        <v>0</v>
      </c>
      <c r="F53" s="5">
        <v>0</v>
      </c>
      <c r="G53" s="6">
        <f t="shared" si="0"/>
        <v>-1</v>
      </c>
      <c r="H53" s="92"/>
      <c r="I53" s="8"/>
    </row>
    <row r="54" spans="1:9">
      <c r="A54" s="7">
        <v>46075</v>
      </c>
      <c r="B54" s="5" t="s">
        <v>101</v>
      </c>
      <c r="C54" s="5">
        <v>1</v>
      </c>
      <c r="D54" s="5">
        <v>2</v>
      </c>
      <c r="E54" s="5">
        <v>0</v>
      </c>
      <c r="F54" s="5">
        <v>0</v>
      </c>
      <c r="G54" s="6">
        <f t="shared" si="0"/>
        <v>-1</v>
      </c>
      <c r="H54" s="93"/>
      <c r="I54" s="8"/>
    </row>
    <row r="55" spans="1:9">
      <c r="A55" s="7">
        <v>46076</v>
      </c>
      <c r="B55" s="5" t="s">
        <v>101</v>
      </c>
      <c r="C55" s="5">
        <v>3</v>
      </c>
      <c r="D55" s="5">
        <v>4</v>
      </c>
      <c r="E55" s="5">
        <v>0</v>
      </c>
      <c r="F55" s="5">
        <v>0</v>
      </c>
      <c r="G55" s="6">
        <f t="shared" si="0"/>
        <v>-1</v>
      </c>
      <c r="H55" s="91">
        <f>SUM(G55:G61)</f>
        <v>-14</v>
      </c>
      <c r="I55" s="8"/>
    </row>
    <row r="56" spans="1:9">
      <c r="A56" s="7">
        <v>46077</v>
      </c>
      <c r="B56" s="5" t="s">
        <v>101</v>
      </c>
      <c r="C56" s="5">
        <v>1</v>
      </c>
      <c r="D56" s="5">
        <v>3</v>
      </c>
      <c r="E56" s="5">
        <v>0</v>
      </c>
      <c r="F56" s="5">
        <v>0</v>
      </c>
      <c r="G56" s="6">
        <f t="shared" si="0"/>
        <v>-2</v>
      </c>
      <c r="H56" s="92"/>
      <c r="I56" s="8"/>
    </row>
    <row r="57" spans="1:9">
      <c r="A57" s="7">
        <v>46078</v>
      </c>
      <c r="B57" s="5" t="s">
        <v>101</v>
      </c>
      <c r="C57" s="5">
        <v>2</v>
      </c>
      <c r="D57" s="5">
        <v>3</v>
      </c>
      <c r="E57" s="5">
        <v>0</v>
      </c>
      <c r="F57" s="5">
        <v>0</v>
      </c>
      <c r="G57" s="6">
        <f t="shared" si="0"/>
        <v>-1</v>
      </c>
      <c r="H57" s="92"/>
      <c r="I57" s="8"/>
    </row>
    <row r="58" spans="1:9">
      <c r="A58" s="7">
        <v>46079</v>
      </c>
      <c r="B58" s="5" t="s">
        <v>101</v>
      </c>
      <c r="C58" s="5">
        <v>1</v>
      </c>
      <c r="D58" s="5">
        <v>2</v>
      </c>
      <c r="E58" s="5">
        <v>0</v>
      </c>
      <c r="F58" s="5">
        <v>0</v>
      </c>
      <c r="G58" s="6">
        <f t="shared" si="0"/>
        <v>-1</v>
      </c>
      <c r="H58" s="92"/>
      <c r="I58" s="8"/>
    </row>
    <row r="59" spans="1:9">
      <c r="A59" s="7">
        <v>46080</v>
      </c>
      <c r="B59" s="5" t="s">
        <v>101</v>
      </c>
      <c r="C59" s="5">
        <v>4</v>
      </c>
      <c r="D59" s="5">
        <v>4</v>
      </c>
      <c r="E59" s="5">
        <v>0</v>
      </c>
      <c r="F59" s="5">
        <v>0</v>
      </c>
      <c r="G59" s="6">
        <f t="shared" si="0"/>
        <v>0</v>
      </c>
      <c r="H59" s="92"/>
      <c r="I59" s="8"/>
    </row>
    <row r="60" spans="1:9">
      <c r="A60" s="7">
        <v>46081</v>
      </c>
      <c r="B60" s="5" t="s">
        <v>101</v>
      </c>
      <c r="C60" s="5">
        <v>1</v>
      </c>
      <c r="D60" s="5">
        <v>7</v>
      </c>
      <c r="E60" s="5">
        <v>0</v>
      </c>
      <c r="F60" s="5">
        <v>0</v>
      </c>
      <c r="G60" s="6">
        <f t="shared" si="0"/>
        <v>-6</v>
      </c>
      <c r="H60" s="92"/>
      <c r="I60" s="8"/>
    </row>
    <row r="61" spans="1:9">
      <c r="A61" s="7">
        <v>46082</v>
      </c>
      <c r="B61" s="5" t="s">
        <v>101</v>
      </c>
      <c r="C61" s="5">
        <v>0</v>
      </c>
      <c r="D61" s="5">
        <v>3</v>
      </c>
      <c r="E61" s="5">
        <v>0</v>
      </c>
      <c r="F61" s="5">
        <v>0</v>
      </c>
      <c r="G61" s="6">
        <f t="shared" si="0"/>
        <v>-3</v>
      </c>
      <c r="H61" s="93"/>
      <c r="I61" s="8"/>
    </row>
    <row r="62" spans="1:9">
      <c r="A62" s="7">
        <v>46083</v>
      </c>
      <c r="B62" s="5" t="s">
        <v>101</v>
      </c>
      <c r="C62" s="5">
        <v>3</v>
      </c>
      <c r="D62" s="5">
        <v>1</v>
      </c>
      <c r="E62" s="5">
        <v>0</v>
      </c>
      <c r="F62" s="5">
        <v>0</v>
      </c>
      <c r="G62" s="6">
        <f t="shared" si="0"/>
        <v>2</v>
      </c>
      <c r="H62" s="91">
        <f>SUM(G62:G68)</f>
        <v>5</v>
      </c>
      <c r="I62" s="8"/>
    </row>
    <row r="63" spans="1:9">
      <c r="A63" s="7">
        <v>46084</v>
      </c>
      <c r="B63" s="5" t="s">
        <v>101</v>
      </c>
      <c r="C63" s="5">
        <v>4</v>
      </c>
      <c r="D63" s="5">
        <v>1</v>
      </c>
      <c r="E63" s="5">
        <v>2</v>
      </c>
      <c r="F63" s="5">
        <v>0</v>
      </c>
      <c r="G63" s="6">
        <f t="shared" si="0"/>
        <v>5</v>
      </c>
      <c r="H63" s="92"/>
      <c r="I63" s="8"/>
    </row>
    <row r="64" spans="1:9">
      <c r="A64" s="7">
        <v>46085</v>
      </c>
      <c r="B64" s="5" t="s">
        <v>101</v>
      </c>
      <c r="C64" s="5">
        <v>1</v>
      </c>
      <c r="D64" s="5">
        <v>4</v>
      </c>
      <c r="E64" s="5">
        <v>0</v>
      </c>
      <c r="F64" s="5">
        <v>0</v>
      </c>
      <c r="G64" s="6">
        <f t="shared" si="0"/>
        <v>-3</v>
      </c>
      <c r="H64" s="92"/>
      <c r="I64" s="8"/>
    </row>
    <row r="65" spans="1:9">
      <c r="A65" s="7">
        <v>46086</v>
      </c>
      <c r="B65" s="5" t="s">
        <v>101</v>
      </c>
      <c r="C65" s="5">
        <v>0</v>
      </c>
      <c r="D65" s="5">
        <v>1</v>
      </c>
      <c r="E65" s="5">
        <v>0</v>
      </c>
      <c r="F65" s="5">
        <v>0</v>
      </c>
      <c r="G65" s="6">
        <f t="shared" si="0"/>
        <v>-1</v>
      </c>
      <c r="H65" s="92"/>
      <c r="I65" s="8"/>
    </row>
    <row r="66" spans="1:9">
      <c r="A66" s="7">
        <v>46087</v>
      </c>
      <c r="B66" s="5" t="s">
        <v>101</v>
      </c>
      <c r="C66" s="5">
        <v>2</v>
      </c>
      <c r="D66" s="5">
        <v>0</v>
      </c>
      <c r="E66" s="5">
        <v>0</v>
      </c>
      <c r="F66" s="5">
        <v>0</v>
      </c>
      <c r="G66" s="6">
        <f t="shared" si="0"/>
        <v>2</v>
      </c>
      <c r="H66" s="92"/>
      <c r="I66" s="8"/>
    </row>
    <row r="67" spans="1:9">
      <c r="A67" s="7">
        <v>46088</v>
      </c>
      <c r="B67" s="5" t="s">
        <v>101</v>
      </c>
      <c r="C67" s="5">
        <v>4</v>
      </c>
      <c r="D67" s="5">
        <v>2</v>
      </c>
      <c r="E67" s="5">
        <v>0</v>
      </c>
      <c r="F67" s="5">
        <v>0</v>
      </c>
      <c r="G67" s="6">
        <f t="shared" ref="G67:G130" si="1">SUM(F67,E67,C67-D67)</f>
        <v>2</v>
      </c>
      <c r="H67" s="92"/>
      <c r="I67" s="8"/>
    </row>
    <row r="68" spans="1:9">
      <c r="A68" s="7">
        <v>46089</v>
      </c>
      <c r="B68" s="5" t="s">
        <v>101</v>
      </c>
      <c r="C68" s="5">
        <v>0</v>
      </c>
      <c r="D68" s="5">
        <v>2</v>
      </c>
      <c r="E68" s="5">
        <v>0</v>
      </c>
      <c r="F68" s="5">
        <v>0</v>
      </c>
      <c r="G68" s="6">
        <f t="shared" si="1"/>
        <v>-2</v>
      </c>
      <c r="H68" s="93"/>
      <c r="I68" s="8"/>
    </row>
    <row r="69" spans="1:9">
      <c r="A69" s="7">
        <v>46090</v>
      </c>
      <c r="B69" s="5" t="s">
        <v>101</v>
      </c>
      <c r="C69" s="5">
        <v>2</v>
      </c>
      <c r="D69" s="5">
        <v>1</v>
      </c>
      <c r="E69" s="5">
        <v>0</v>
      </c>
      <c r="F69" s="5">
        <v>0</v>
      </c>
      <c r="G69" s="6">
        <f t="shared" si="1"/>
        <v>1</v>
      </c>
      <c r="H69" s="91">
        <f>SUM(G69:G75)</f>
        <v>1</v>
      </c>
      <c r="I69" s="8"/>
    </row>
    <row r="70" spans="1:9">
      <c r="A70" s="7">
        <v>46091</v>
      </c>
      <c r="B70" s="5" t="s">
        <v>101</v>
      </c>
      <c r="C70" s="5">
        <v>1</v>
      </c>
      <c r="D70" s="5">
        <v>1</v>
      </c>
      <c r="E70" s="5">
        <v>0</v>
      </c>
      <c r="F70" s="5">
        <v>0</v>
      </c>
      <c r="G70" s="6">
        <f t="shared" si="1"/>
        <v>0</v>
      </c>
      <c r="H70" s="92"/>
      <c r="I70" s="8"/>
    </row>
    <row r="71" spans="1:9">
      <c r="A71" s="7">
        <v>46092</v>
      </c>
      <c r="B71" s="5" t="s">
        <v>101</v>
      </c>
      <c r="C71" s="5">
        <v>2</v>
      </c>
      <c r="D71" s="5">
        <v>3</v>
      </c>
      <c r="E71" s="5">
        <v>0</v>
      </c>
      <c r="F71" s="5">
        <v>0</v>
      </c>
      <c r="G71" s="6">
        <f t="shared" si="1"/>
        <v>-1</v>
      </c>
      <c r="H71" s="92"/>
      <c r="I71" s="8"/>
    </row>
    <row r="72" spans="1:9">
      <c r="A72" s="7">
        <v>46093</v>
      </c>
      <c r="B72" s="5" t="s">
        <v>101</v>
      </c>
      <c r="C72" s="5">
        <v>1</v>
      </c>
      <c r="D72" s="5">
        <v>1</v>
      </c>
      <c r="E72" s="5">
        <v>0</v>
      </c>
      <c r="F72" s="5">
        <v>0</v>
      </c>
      <c r="G72" s="6">
        <f t="shared" si="1"/>
        <v>0</v>
      </c>
      <c r="H72" s="92"/>
      <c r="I72" s="8"/>
    </row>
    <row r="73" spans="1:9">
      <c r="A73" s="7">
        <v>46094</v>
      </c>
      <c r="B73" s="5" t="s">
        <v>101</v>
      </c>
      <c r="C73" s="5">
        <v>1</v>
      </c>
      <c r="D73" s="5">
        <v>1</v>
      </c>
      <c r="E73" s="5">
        <v>0</v>
      </c>
      <c r="F73" s="5">
        <v>0</v>
      </c>
      <c r="G73" s="6">
        <f t="shared" si="1"/>
        <v>0</v>
      </c>
      <c r="H73" s="92"/>
      <c r="I73" s="8"/>
    </row>
    <row r="74" spans="1:9">
      <c r="A74" s="7">
        <v>46095</v>
      </c>
      <c r="B74" s="5" t="s">
        <v>101</v>
      </c>
      <c r="C74" s="5">
        <v>0</v>
      </c>
      <c r="D74" s="5">
        <v>0</v>
      </c>
      <c r="E74" s="5">
        <v>0</v>
      </c>
      <c r="F74" s="5">
        <v>0</v>
      </c>
      <c r="G74" s="6">
        <f t="shared" si="1"/>
        <v>0</v>
      </c>
      <c r="H74" s="92"/>
      <c r="I74" s="8"/>
    </row>
    <row r="75" spans="1:9">
      <c r="A75" s="7">
        <v>46096</v>
      </c>
      <c r="B75" s="5" t="s">
        <v>101</v>
      </c>
      <c r="C75" s="5">
        <v>1</v>
      </c>
      <c r="D75" s="5">
        <v>0</v>
      </c>
      <c r="E75" s="5">
        <v>0</v>
      </c>
      <c r="F75" s="5">
        <v>0</v>
      </c>
      <c r="G75" s="6">
        <f t="shared" si="1"/>
        <v>1</v>
      </c>
      <c r="H75" s="93"/>
      <c r="I75" s="8"/>
    </row>
    <row r="76" spans="1:9">
      <c r="A76" s="7">
        <v>46097</v>
      </c>
      <c r="B76" s="5" t="s">
        <v>101</v>
      </c>
      <c r="C76" s="5">
        <v>2</v>
      </c>
      <c r="D76" s="5">
        <v>1</v>
      </c>
      <c r="E76" s="5">
        <v>0</v>
      </c>
      <c r="F76" s="5">
        <v>0</v>
      </c>
      <c r="G76" s="6">
        <f t="shared" si="1"/>
        <v>1</v>
      </c>
      <c r="H76" s="91">
        <f>SUM(G76:G82)</f>
        <v>-5</v>
      </c>
      <c r="I76" s="8"/>
    </row>
    <row r="77" spans="1:9">
      <c r="A77" s="7">
        <v>46098</v>
      </c>
      <c r="B77" s="5" t="s">
        <v>101</v>
      </c>
      <c r="C77" s="5">
        <v>0</v>
      </c>
      <c r="D77" s="5">
        <v>1</v>
      </c>
      <c r="E77" s="5">
        <v>0</v>
      </c>
      <c r="F77" s="5">
        <v>0</v>
      </c>
      <c r="G77" s="6">
        <f t="shared" si="1"/>
        <v>-1</v>
      </c>
      <c r="H77" s="92"/>
      <c r="I77" s="8"/>
    </row>
    <row r="78" spans="1:9">
      <c r="A78" s="7">
        <v>46099</v>
      </c>
      <c r="B78" s="5" t="s">
        <v>101</v>
      </c>
      <c r="C78" s="5">
        <v>0</v>
      </c>
      <c r="D78" s="5">
        <v>0</v>
      </c>
      <c r="E78" s="5">
        <v>0</v>
      </c>
      <c r="F78" s="5">
        <v>0</v>
      </c>
      <c r="G78" s="6">
        <f t="shared" si="1"/>
        <v>0</v>
      </c>
      <c r="H78" s="92"/>
      <c r="I78" s="8"/>
    </row>
    <row r="79" spans="1:9">
      <c r="A79" s="7">
        <v>46100</v>
      </c>
      <c r="B79" s="5" t="s">
        <v>101</v>
      </c>
      <c r="C79" s="5">
        <v>0</v>
      </c>
      <c r="D79" s="5">
        <v>1</v>
      </c>
      <c r="E79" s="5">
        <v>0</v>
      </c>
      <c r="F79" s="5">
        <v>0</v>
      </c>
      <c r="G79" s="6">
        <f t="shared" si="1"/>
        <v>-1</v>
      </c>
      <c r="H79" s="92"/>
      <c r="I79" s="8"/>
    </row>
    <row r="80" spans="1:9">
      <c r="A80" s="7">
        <v>46101</v>
      </c>
      <c r="B80" s="5" t="s">
        <v>101</v>
      </c>
      <c r="C80" s="5">
        <v>0</v>
      </c>
      <c r="D80" s="5">
        <v>2</v>
      </c>
      <c r="E80" s="5">
        <v>0</v>
      </c>
      <c r="F80" s="5">
        <v>0</v>
      </c>
      <c r="G80" s="6">
        <f t="shared" si="1"/>
        <v>-2</v>
      </c>
      <c r="H80" s="92"/>
      <c r="I80" s="8"/>
    </row>
    <row r="81" spans="1:9">
      <c r="A81" s="7">
        <v>46102</v>
      </c>
      <c r="B81" s="5" t="s">
        <v>101</v>
      </c>
      <c r="C81" s="5">
        <v>2</v>
      </c>
      <c r="D81" s="5">
        <v>4</v>
      </c>
      <c r="E81" s="5">
        <v>0</v>
      </c>
      <c r="F81" s="5">
        <v>0</v>
      </c>
      <c r="G81" s="6">
        <f t="shared" si="1"/>
        <v>-2</v>
      </c>
      <c r="H81" s="92"/>
      <c r="I81" s="8"/>
    </row>
    <row r="82" spans="1:9">
      <c r="A82" s="7">
        <v>46103</v>
      </c>
      <c r="B82" s="5" t="s">
        <v>101</v>
      </c>
      <c r="C82" s="5">
        <v>1</v>
      </c>
      <c r="D82" s="5">
        <v>1</v>
      </c>
      <c r="E82" s="5">
        <v>0</v>
      </c>
      <c r="F82" s="5">
        <v>0</v>
      </c>
      <c r="G82" s="6">
        <f t="shared" si="1"/>
        <v>0</v>
      </c>
      <c r="H82" s="93"/>
      <c r="I82" s="8"/>
    </row>
    <row r="83" spans="1:9">
      <c r="A83" s="7">
        <v>46104</v>
      </c>
      <c r="B83" s="5" t="s">
        <v>101</v>
      </c>
      <c r="C83" s="5">
        <v>1</v>
      </c>
      <c r="D83" s="5">
        <v>1</v>
      </c>
      <c r="E83" s="5">
        <v>0</v>
      </c>
      <c r="F83" s="5">
        <v>0</v>
      </c>
      <c r="G83" s="6">
        <f t="shared" si="1"/>
        <v>0</v>
      </c>
      <c r="H83" s="91">
        <f>SUM(G83:G89)</f>
        <v>-2</v>
      </c>
      <c r="I83" s="8"/>
    </row>
    <row r="84" spans="1:9">
      <c r="A84" s="7">
        <v>46105</v>
      </c>
      <c r="B84" s="5" t="s">
        <v>101</v>
      </c>
      <c r="C84" s="5">
        <v>1</v>
      </c>
      <c r="D84" s="5">
        <v>3</v>
      </c>
      <c r="E84" s="5">
        <v>0</v>
      </c>
      <c r="F84" s="5">
        <v>0</v>
      </c>
      <c r="G84" s="6">
        <f t="shared" si="1"/>
        <v>-2</v>
      </c>
      <c r="H84" s="92"/>
      <c r="I84" s="8"/>
    </row>
    <row r="85" spans="1:9">
      <c r="A85" s="7">
        <v>46106</v>
      </c>
      <c r="B85" s="5" t="s">
        <v>101</v>
      </c>
      <c r="C85" s="5">
        <v>0</v>
      </c>
      <c r="D85" s="5">
        <v>1</v>
      </c>
      <c r="E85" s="5">
        <v>0</v>
      </c>
      <c r="F85" s="5">
        <v>0</v>
      </c>
      <c r="G85" s="6">
        <f t="shared" si="1"/>
        <v>-1</v>
      </c>
      <c r="H85" s="92"/>
      <c r="I85" s="8"/>
    </row>
    <row r="86" spans="1:9">
      <c r="A86" s="7">
        <v>46107</v>
      </c>
      <c r="B86" s="5" t="s">
        <v>101</v>
      </c>
      <c r="C86" s="5">
        <v>0</v>
      </c>
      <c r="D86" s="5">
        <v>1</v>
      </c>
      <c r="E86" s="5">
        <v>0</v>
      </c>
      <c r="F86" s="5">
        <v>0</v>
      </c>
      <c r="G86" s="6">
        <f t="shared" si="1"/>
        <v>-1</v>
      </c>
      <c r="H86" s="92"/>
      <c r="I86" s="8"/>
    </row>
    <row r="87" spans="1:9">
      <c r="A87" s="7">
        <v>46108</v>
      </c>
      <c r="B87" s="5" t="s">
        <v>101</v>
      </c>
      <c r="C87" s="5">
        <v>3</v>
      </c>
      <c r="D87" s="5">
        <v>2</v>
      </c>
      <c r="E87" s="5">
        <v>0</v>
      </c>
      <c r="F87" s="5">
        <v>0</v>
      </c>
      <c r="G87" s="6">
        <f t="shared" si="1"/>
        <v>1</v>
      </c>
      <c r="H87" s="92"/>
      <c r="I87" s="8"/>
    </row>
    <row r="88" spans="1:9">
      <c r="A88" s="7">
        <v>46109</v>
      </c>
      <c r="B88" s="5" t="s">
        <v>101</v>
      </c>
      <c r="C88" s="5">
        <v>4</v>
      </c>
      <c r="D88" s="5">
        <v>2</v>
      </c>
      <c r="E88" s="5">
        <v>0</v>
      </c>
      <c r="F88" s="5">
        <v>0</v>
      </c>
      <c r="G88" s="6">
        <f t="shared" si="1"/>
        <v>2</v>
      </c>
      <c r="H88" s="92"/>
      <c r="I88" s="8"/>
    </row>
    <row r="89" spans="1:9">
      <c r="A89" s="7">
        <v>46110</v>
      </c>
      <c r="B89" s="5" t="s">
        <v>101</v>
      </c>
      <c r="C89" s="5">
        <v>1</v>
      </c>
      <c r="D89" s="5">
        <v>2</v>
      </c>
      <c r="E89" s="5">
        <v>0</v>
      </c>
      <c r="F89" s="5">
        <v>0</v>
      </c>
      <c r="G89" s="6">
        <f t="shared" si="1"/>
        <v>-1</v>
      </c>
      <c r="H89" s="93"/>
      <c r="I89" s="8"/>
    </row>
    <row r="90" spans="1:9">
      <c r="A90" s="7">
        <v>46111</v>
      </c>
      <c r="B90" s="5" t="s">
        <v>101</v>
      </c>
      <c r="C90" s="5">
        <v>0</v>
      </c>
      <c r="D90" s="5">
        <v>0</v>
      </c>
      <c r="E90" s="5">
        <v>0</v>
      </c>
      <c r="F90" s="5">
        <v>0</v>
      </c>
      <c r="G90" s="6">
        <f t="shared" si="1"/>
        <v>0</v>
      </c>
      <c r="H90" s="91">
        <f>SUM(G90:G96)</f>
        <v>8</v>
      </c>
      <c r="I90" s="8"/>
    </row>
    <row r="91" spans="1:9">
      <c r="A91" s="7">
        <v>46112</v>
      </c>
      <c r="B91" s="5" t="s">
        <v>101</v>
      </c>
      <c r="C91" s="5">
        <v>2</v>
      </c>
      <c r="D91" s="5">
        <v>0</v>
      </c>
      <c r="E91" s="5">
        <v>0</v>
      </c>
      <c r="F91" s="5">
        <v>0</v>
      </c>
      <c r="G91" s="6">
        <f t="shared" si="1"/>
        <v>2</v>
      </c>
      <c r="H91" s="92"/>
      <c r="I91" s="8"/>
    </row>
    <row r="92" spans="1:9">
      <c r="A92" s="7">
        <v>46113</v>
      </c>
      <c r="B92" s="5" t="s">
        <v>101</v>
      </c>
      <c r="C92" s="5">
        <v>5</v>
      </c>
      <c r="D92" s="5">
        <v>3</v>
      </c>
      <c r="E92" s="5">
        <v>0</v>
      </c>
      <c r="F92" s="5">
        <v>0</v>
      </c>
      <c r="G92" s="6">
        <f t="shared" si="1"/>
        <v>2</v>
      </c>
      <c r="H92" s="92"/>
      <c r="I92" s="8"/>
    </row>
    <row r="93" spans="1:9">
      <c r="A93" s="7">
        <v>46114</v>
      </c>
      <c r="B93" s="5" t="s">
        <v>101</v>
      </c>
      <c r="C93" s="5">
        <v>9</v>
      </c>
      <c r="D93" s="5">
        <v>1</v>
      </c>
      <c r="E93" s="5">
        <v>0</v>
      </c>
      <c r="F93" s="5">
        <v>0</v>
      </c>
      <c r="G93" s="6">
        <f t="shared" si="1"/>
        <v>8</v>
      </c>
      <c r="H93" s="92"/>
      <c r="I93" s="8"/>
    </row>
    <row r="94" spans="1:9">
      <c r="A94" s="7">
        <v>46115</v>
      </c>
      <c r="B94" s="5" t="s">
        <v>101</v>
      </c>
      <c r="C94" s="5">
        <v>1</v>
      </c>
      <c r="D94" s="5">
        <v>0</v>
      </c>
      <c r="E94" s="5">
        <v>0</v>
      </c>
      <c r="F94" s="5">
        <v>0</v>
      </c>
      <c r="G94" s="6">
        <f t="shared" si="1"/>
        <v>1</v>
      </c>
      <c r="H94" s="92"/>
      <c r="I94" s="8"/>
    </row>
    <row r="95" spans="1:9">
      <c r="A95" s="7">
        <v>46116</v>
      </c>
      <c r="B95" s="5" t="s">
        <v>101</v>
      </c>
      <c r="C95" s="5">
        <v>0</v>
      </c>
      <c r="D95" s="5">
        <v>2</v>
      </c>
      <c r="E95" s="5">
        <v>0</v>
      </c>
      <c r="F95" s="5">
        <v>0</v>
      </c>
      <c r="G95" s="6">
        <f t="shared" si="1"/>
        <v>-2</v>
      </c>
      <c r="H95" s="92"/>
      <c r="I95" s="8"/>
    </row>
    <row r="96" spans="1:9">
      <c r="A96" s="7">
        <v>46117</v>
      </c>
      <c r="B96" s="5" t="s">
        <v>101</v>
      </c>
      <c r="C96" s="5">
        <v>1</v>
      </c>
      <c r="D96" s="5">
        <v>4</v>
      </c>
      <c r="E96" s="5">
        <v>0</v>
      </c>
      <c r="F96" s="5">
        <v>0</v>
      </c>
      <c r="G96" s="6">
        <f t="shared" si="1"/>
        <v>-3</v>
      </c>
      <c r="H96" s="93"/>
      <c r="I96" s="8"/>
    </row>
    <row r="97" spans="1:9">
      <c r="A97" s="7">
        <v>46118</v>
      </c>
      <c r="B97" s="5" t="s">
        <v>101</v>
      </c>
      <c r="C97" s="5">
        <v>1</v>
      </c>
      <c r="D97" s="5">
        <v>2</v>
      </c>
      <c r="E97" s="5">
        <v>0</v>
      </c>
      <c r="F97" s="5">
        <v>0</v>
      </c>
      <c r="G97" s="6">
        <f t="shared" si="1"/>
        <v>-1</v>
      </c>
      <c r="H97" s="91">
        <f>SUM(G97:G103)</f>
        <v>8</v>
      </c>
      <c r="I97" s="8"/>
    </row>
    <row r="98" spans="1:9">
      <c r="A98" s="7">
        <v>46119</v>
      </c>
      <c r="B98" s="5" t="s">
        <v>101</v>
      </c>
      <c r="C98" s="5">
        <v>1</v>
      </c>
      <c r="D98" s="5">
        <v>0</v>
      </c>
      <c r="E98" s="5">
        <v>0</v>
      </c>
      <c r="F98" s="5">
        <v>0</v>
      </c>
      <c r="G98" s="6">
        <f t="shared" si="1"/>
        <v>1</v>
      </c>
      <c r="H98" s="92"/>
      <c r="I98" s="8"/>
    </row>
    <row r="99" spans="1:9">
      <c r="A99" s="7">
        <v>46120</v>
      </c>
      <c r="B99" s="5" t="s">
        <v>101</v>
      </c>
      <c r="C99" s="5">
        <v>1</v>
      </c>
      <c r="D99" s="5">
        <v>2</v>
      </c>
      <c r="E99" s="5">
        <v>0</v>
      </c>
      <c r="F99" s="5">
        <v>0</v>
      </c>
      <c r="G99" s="6">
        <f t="shared" si="1"/>
        <v>-1</v>
      </c>
      <c r="H99" s="92"/>
      <c r="I99" s="8"/>
    </row>
    <row r="100" spans="1:9">
      <c r="A100" s="7">
        <v>46121</v>
      </c>
      <c r="B100" s="5" t="s">
        <v>101</v>
      </c>
      <c r="C100" s="5">
        <v>7</v>
      </c>
      <c r="D100" s="5">
        <v>2</v>
      </c>
      <c r="E100" s="5">
        <v>0</v>
      </c>
      <c r="F100" s="5">
        <v>0</v>
      </c>
      <c r="G100" s="6">
        <f t="shared" si="1"/>
        <v>5</v>
      </c>
      <c r="H100" s="92"/>
      <c r="I100" s="8"/>
    </row>
    <row r="101" spans="1:9">
      <c r="A101" s="7">
        <v>46122</v>
      </c>
      <c r="B101" s="5" t="s">
        <v>101</v>
      </c>
      <c r="C101" s="5">
        <v>4</v>
      </c>
      <c r="D101" s="5">
        <v>2</v>
      </c>
      <c r="E101" s="5">
        <v>0</v>
      </c>
      <c r="F101" s="5">
        <v>0</v>
      </c>
      <c r="G101" s="6">
        <f t="shared" si="1"/>
        <v>2</v>
      </c>
      <c r="H101" s="92"/>
      <c r="I101" s="8"/>
    </row>
    <row r="102" spans="1:9">
      <c r="A102" s="7">
        <v>46123</v>
      </c>
      <c r="B102" s="5" t="s">
        <v>101</v>
      </c>
      <c r="C102" s="5">
        <v>2</v>
      </c>
      <c r="D102" s="5">
        <v>0</v>
      </c>
      <c r="E102" s="5">
        <v>0</v>
      </c>
      <c r="F102" s="5">
        <v>0</v>
      </c>
      <c r="G102" s="6">
        <f t="shared" si="1"/>
        <v>2</v>
      </c>
      <c r="H102" s="92"/>
      <c r="I102" s="8"/>
    </row>
    <row r="103" spans="1:9">
      <c r="A103" s="7">
        <v>46124</v>
      </c>
      <c r="B103" s="5" t="s">
        <v>101</v>
      </c>
      <c r="C103" s="5">
        <v>3</v>
      </c>
      <c r="D103" s="5">
        <v>3</v>
      </c>
      <c r="E103" s="5">
        <v>0</v>
      </c>
      <c r="F103" s="5">
        <v>0</v>
      </c>
      <c r="G103" s="6">
        <f t="shared" si="1"/>
        <v>0</v>
      </c>
      <c r="H103" s="93"/>
      <c r="I103" s="8"/>
    </row>
    <row r="104" spans="1:9">
      <c r="A104" s="7">
        <v>46125</v>
      </c>
      <c r="B104" s="5" t="s">
        <v>101</v>
      </c>
      <c r="C104" s="9">
        <v>1</v>
      </c>
      <c r="D104" s="9">
        <v>4</v>
      </c>
      <c r="E104" s="9">
        <v>0</v>
      </c>
      <c r="F104" s="9">
        <v>0</v>
      </c>
      <c r="G104" s="6">
        <f>SUM(F104,E104,C104-D104)</f>
        <v>-3</v>
      </c>
      <c r="H104" s="91">
        <f>SUM(G104:G110)</f>
        <v>-4</v>
      </c>
      <c r="I104" s="8"/>
    </row>
    <row r="105" spans="1:9">
      <c r="A105" s="7">
        <v>46126</v>
      </c>
      <c r="B105" s="5" t="s">
        <v>101</v>
      </c>
      <c r="C105" s="9">
        <v>1</v>
      </c>
      <c r="D105" s="9">
        <v>1</v>
      </c>
      <c r="E105" s="9">
        <v>0</v>
      </c>
      <c r="F105" s="9">
        <v>0</v>
      </c>
      <c r="G105" s="6">
        <f t="shared" si="1"/>
        <v>0</v>
      </c>
      <c r="H105" s="92"/>
      <c r="I105" s="8"/>
    </row>
    <row r="106" spans="1:9">
      <c r="A106" s="7">
        <v>46127</v>
      </c>
      <c r="B106" s="5" t="s">
        <v>101</v>
      </c>
      <c r="C106" s="9">
        <v>0</v>
      </c>
      <c r="D106" s="9">
        <v>2</v>
      </c>
      <c r="E106" s="9">
        <v>0</v>
      </c>
      <c r="F106" s="9">
        <v>0</v>
      </c>
      <c r="G106" s="6">
        <f t="shared" si="1"/>
        <v>-2</v>
      </c>
      <c r="H106" s="92"/>
      <c r="I106" s="8"/>
    </row>
    <row r="107" spans="1:9">
      <c r="A107" s="7">
        <v>46128</v>
      </c>
      <c r="B107" s="5" t="s">
        <v>101</v>
      </c>
      <c r="C107" s="9">
        <v>5</v>
      </c>
      <c r="D107" s="9">
        <v>4</v>
      </c>
      <c r="E107" s="9">
        <v>0</v>
      </c>
      <c r="F107" s="9">
        <v>0</v>
      </c>
      <c r="G107" s="6">
        <f t="shared" si="1"/>
        <v>1</v>
      </c>
      <c r="H107" s="92"/>
      <c r="I107" s="8"/>
    </row>
    <row r="108" spans="1:9">
      <c r="A108" s="7">
        <v>46129</v>
      </c>
      <c r="B108" s="5" t="s">
        <v>101</v>
      </c>
      <c r="C108" s="9">
        <v>1</v>
      </c>
      <c r="D108" s="9">
        <v>1</v>
      </c>
      <c r="E108" s="9">
        <v>0</v>
      </c>
      <c r="F108" s="9">
        <v>0</v>
      </c>
      <c r="G108" s="6">
        <f t="shared" si="1"/>
        <v>0</v>
      </c>
      <c r="H108" s="92"/>
      <c r="I108" s="8"/>
    </row>
    <row r="109" spans="1:9">
      <c r="A109" s="7">
        <v>46130</v>
      </c>
      <c r="B109" s="5" t="s">
        <v>101</v>
      </c>
      <c r="C109" s="9">
        <v>1</v>
      </c>
      <c r="D109" s="9">
        <v>1</v>
      </c>
      <c r="E109" s="9">
        <v>0</v>
      </c>
      <c r="F109" s="9">
        <v>0</v>
      </c>
      <c r="G109" s="6">
        <f t="shared" si="1"/>
        <v>0</v>
      </c>
      <c r="H109" s="92"/>
      <c r="I109" s="8"/>
    </row>
    <row r="110" spans="1:9">
      <c r="A110" s="7">
        <v>46131</v>
      </c>
      <c r="B110" s="5" t="s">
        <v>101</v>
      </c>
      <c r="C110" s="5">
        <v>1</v>
      </c>
      <c r="D110" s="5">
        <v>1</v>
      </c>
      <c r="E110" s="5">
        <v>0</v>
      </c>
      <c r="F110" s="5">
        <v>0</v>
      </c>
      <c r="G110" s="6">
        <f t="shared" si="1"/>
        <v>0</v>
      </c>
      <c r="H110" s="93"/>
      <c r="I110" s="8"/>
    </row>
    <row r="111" spans="1:9">
      <c r="A111" s="7">
        <v>46132</v>
      </c>
      <c r="B111" s="5" t="s">
        <v>101</v>
      </c>
      <c r="C111" s="5">
        <v>0</v>
      </c>
      <c r="D111" s="5">
        <v>4</v>
      </c>
      <c r="E111" s="5">
        <v>0</v>
      </c>
      <c r="F111" s="5">
        <v>0</v>
      </c>
      <c r="G111" s="6">
        <f t="shared" si="1"/>
        <v>-4</v>
      </c>
      <c r="H111" s="91">
        <f>SUM(G111:G117)</f>
        <v>-2</v>
      </c>
      <c r="I111" s="8"/>
    </row>
    <row r="112" spans="1:9">
      <c r="A112" s="7">
        <v>46133</v>
      </c>
      <c r="B112" s="5" t="s">
        <v>101</v>
      </c>
      <c r="C112" s="5">
        <v>1</v>
      </c>
      <c r="D112" s="5">
        <v>1</v>
      </c>
      <c r="E112" s="5">
        <v>0</v>
      </c>
      <c r="F112" s="5">
        <v>0</v>
      </c>
      <c r="G112" s="6">
        <f t="shared" si="1"/>
        <v>0</v>
      </c>
      <c r="H112" s="92"/>
      <c r="I112" s="8"/>
    </row>
    <row r="113" spans="1:9">
      <c r="A113" s="7">
        <v>46134</v>
      </c>
      <c r="B113" s="5" t="s">
        <v>101</v>
      </c>
      <c r="C113" s="5">
        <v>0</v>
      </c>
      <c r="D113" s="5">
        <v>2</v>
      </c>
      <c r="E113" s="5">
        <v>0</v>
      </c>
      <c r="F113" s="5">
        <v>0</v>
      </c>
      <c r="G113" s="6">
        <f t="shared" si="1"/>
        <v>-2</v>
      </c>
      <c r="H113" s="92"/>
      <c r="I113" s="8"/>
    </row>
    <row r="114" spans="1:9">
      <c r="A114" s="7">
        <v>46135</v>
      </c>
      <c r="B114" s="5" t="s">
        <v>101</v>
      </c>
      <c r="C114" s="5">
        <v>2</v>
      </c>
      <c r="D114" s="5">
        <v>1</v>
      </c>
      <c r="E114" s="5">
        <v>0</v>
      </c>
      <c r="F114" s="5">
        <v>0</v>
      </c>
      <c r="G114" s="6">
        <f t="shared" si="1"/>
        <v>1</v>
      </c>
      <c r="H114" s="92"/>
      <c r="I114" s="8"/>
    </row>
    <row r="115" spans="1:9">
      <c r="A115" s="7">
        <v>46136</v>
      </c>
      <c r="B115" s="5" t="s">
        <v>101</v>
      </c>
      <c r="C115" s="5">
        <v>2</v>
      </c>
      <c r="D115" s="5">
        <v>2</v>
      </c>
      <c r="E115" s="5">
        <v>0</v>
      </c>
      <c r="F115" s="5">
        <v>0</v>
      </c>
      <c r="G115" s="6">
        <f t="shared" si="1"/>
        <v>0</v>
      </c>
      <c r="H115" s="92"/>
      <c r="I115" s="8"/>
    </row>
    <row r="116" spans="1:9">
      <c r="A116" s="7">
        <v>46137</v>
      </c>
      <c r="B116" s="5" t="s">
        <v>101</v>
      </c>
      <c r="C116" s="5">
        <v>1</v>
      </c>
      <c r="D116" s="5">
        <v>0</v>
      </c>
      <c r="E116" s="5">
        <v>0</v>
      </c>
      <c r="F116" s="5">
        <v>0</v>
      </c>
      <c r="G116" s="6">
        <f t="shared" si="1"/>
        <v>1</v>
      </c>
      <c r="H116" s="92"/>
      <c r="I116" s="8"/>
    </row>
    <row r="117" spans="1:9">
      <c r="A117" s="7">
        <v>46138</v>
      </c>
      <c r="B117" s="5" t="s">
        <v>101</v>
      </c>
      <c r="C117" s="5">
        <v>2</v>
      </c>
      <c r="D117" s="5">
        <v>0</v>
      </c>
      <c r="E117" s="5">
        <v>0</v>
      </c>
      <c r="F117" s="5">
        <v>0</v>
      </c>
      <c r="G117" s="6">
        <f t="shared" si="1"/>
        <v>2</v>
      </c>
      <c r="H117" s="93"/>
      <c r="I117" s="8"/>
    </row>
    <row r="118" spans="1:9">
      <c r="A118" s="7">
        <v>46139</v>
      </c>
      <c r="B118" s="5" t="s">
        <v>101</v>
      </c>
      <c r="C118" s="5">
        <v>6</v>
      </c>
      <c r="D118" s="5">
        <v>1</v>
      </c>
      <c r="E118" s="5">
        <v>0</v>
      </c>
      <c r="F118" s="5">
        <v>0</v>
      </c>
      <c r="G118" s="6">
        <f t="shared" si="1"/>
        <v>5</v>
      </c>
      <c r="H118" s="91">
        <f>SUM(G118:G124)</f>
        <v>15</v>
      </c>
      <c r="I118" s="8"/>
    </row>
    <row r="119" spans="1:9">
      <c r="A119" s="7">
        <v>46140</v>
      </c>
      <c r="B119" s="5" t="s">
        <v>101</v>
      </c>
      <c r="C119" s="5">
        <v>4</v>
      </c>
      <c r="D119" s="5">
        <v>2</v>
      </c>
      <c r="E119" s="5">
        <v>0</v>
      </c>
      <c r="F119" s="5">
        <v>0</v>
      </c>
      <c r="G119" s="6">
        <f t="shared" si="1"/>
        <v>2</v>
      </c>
      <c r="H119" s="92"/>
      <c r="I119" s="8"/>
    </row>
    <row r="120" spans="1:9">
      <c r="A120" s="7">
        <v>46141</v>
      </c>
      <c r="B120" s="5" t="s">
        <v>101</v>
      </c>
      <c r="C120" s="5">
        <v>3</v>
      </c>
      <c r="D120" s="5">
        <v>3</v>
      </c>
      <c r="E120" s="5">
        <v>0</v>
      </c>
      <c r="F120" s="5">
        <v>0</v>
      </c>
      <c r="G120" s="6">
        <f t="shared" si="1"/>
        <v>0</v>
      </c>
      <c r="H120" s="92"/>
      <c r="I120" s="8"/>
    </row>
    <row r="121" spans="1:9">
      <c r="A121" s="7">
        <v>46142</v>
      </c>
      <c r="B121" s="5" t="s">
        <v>101</v>
      </c>
      <c r="C121" s="5">
        <v>4</v>
      </c>
      <c r="D121" s="5">
        <v>1</v>
      </c>
      <c r="E121" s="5">
        <v>0</v>
      </c>
      <c r="F121" s="5">
        <v>0</v>
      </c>
      <c r="G121" s="6">
        <f t="shared" si="1"/>
        <v>3</v>
      </c>
      <c r="H121" s="92"/>
      <c r="I121" s="8"/>
    </row>
    <row r="122" spans="1:9">
      <c r="A122" s="7">
        <v>46143</v>
      </c>
      <c r="B122" s="5" t="s">
        <v>101</v>
      </c>
      <c r="C122" s="5">
        <v>3</v>
      </c>
      <c r="D122" s="5">
        <v>1</v>
      </c>
      <c r="E122" s="5">
        <v>0</v>
      </c>
      <c r="F122" s="5">
        <v>0</v>
      </c>
      <c r="G122" s="6">
        <f t="shared" si="1"/>
        <v>2</v>
      </c>
      <c r="H122" s="92"/>
      <c r="I122" s="8"/>
    </row>
    <row r="123" spans="1:9">
      <c r="A123" s="7">
        <v>46144</v>
      </c>
      <c r="B123" s="5" t="s">
        <v>101</v>
      </c>
      <c r="C123" s="5">
        <v>2</v>
      </c>
      <c r="D123" s="5">
        <v>1</v>
      </c>
      <c r="E123" s="5">
        <v>0</v>
      </c>
      <c r="F123" s="5">
        <v>0</v>
      </c>
      <c r="G123" s="6">
        <f t="shared" si="1"/>
        <v>1</v>
      </c>
      <c r="H123" s="92"/>
      <c r="I123" s="8"/>
    </row>
    <row r="124" spans="1:9">
      <c r="A124" s="7">
        <v>46145</v>
      </c>
      <c r="B124" s="5" t="s">
        <v>101</v>
      </c>
      <c r="C124" s="5">
        <v>2</v>
      </c>
      <c r="D124" s="5">
        <v>0</v>
      </c>
      <c r="E124" s="5">
        <v>0</v>
      </c>
      <c r="F124" s="5">
        <v>0</v>
      </c>
      <c r="G124" s="6">
        <f t="shared" si="1"/>
        <v>2</v>
      </c>
      <c r="H124" s="93"/>
      <c r="I124" s="8"/>
    </row>
    <row r="125" spans="1:9">
      <c r="A125" s="7">
        <v>46146</v>
      </c>
      <c r="B125" s="5" t="s">
        <v>101</v>
      </c>
      <c r="C125" s="5">
        <v>0</v>
      </c>
      <c r="D125" s="5">
        <v>0</v>
      </c>
      <c r="E125" s="5">
        <v>0</v>
      </c>
      <c r="F125" s="5">
        <v>0</v>
      </c>
      <c r="G125" s="6">
        <f t="shared" si="1"/>
        <v>0</v>
      </c>
      <c r="H125" s="91">
        <f>SUM(G125:G131)</f>
        <v>0</v>
      </c>
      <c r="I125" s="8"/>
    </row>
    <row r="126" spans="1:9">
      <c r="A126" s="7">
        <v>46147</v>
      </c>
      <c r="B126" s="5" t="s">
        <v>101</v>
      </c>
      <c r="C126" s="5">
        <v>0</v>
      </c>
      <c r="D126" s="5">
        <v>0</v>
      </c>
      <c r="E126" s="5">
        <v>0</v>
      </c>
      <c r="F126" s="5">
        <v>0</v>
      </c>
      <c r="G126" s="6">
        <f t="shared" si="1"/>
        <v>0</v>
      </c>
      <c r="H126" s="92"/>
      <c r="I126" s="8"/>
    </row>
    <row r="127" spans="1:9">
      <c r="A127" s="7">
        <v>46148</v>
      </c>
      <c r="B127" s="5" t="s">
        <v>101</v>
      </c>
      <c r="C127" s="5">
        <v>0</v>
      </c>
      <c r="D127" s="5">
        <v>0</v>
      </c>
      <c r="E127" s="5">
        <v>0</v>
      </c>
      <c r="F127" s="5">
        <v>0</v>
      </c>
      <c r="G127" s="6">
        <f t="shared" si="1"/>
        <v>0</v>
      </c>
      <c r="H127" s="92"/>
      <c r="I127" s="8"/>
    </row>
    <row r="128" spans="1:9">
      <c r="A128" s="7">
        <v>46149</v>
      </c>
      <c r="B128" s="5" t="s">
        <v>101</v>
      </c>
      <c r="C128" s="5">
        <v>0</v>
      </c>
      <c r="D128" s="5">
        <v>0</v>
      </c>
      <c r="E128" s="5">
        <v>0</v>
      </c>
      <c r="F128" s="5">
        <v>0</v>
      </c>
      <c r="G128" s="6">
        <f t="shared" si="1"/>
        <v>0</v>
      </c>
      <c r="H128" s="92"/>
      <c r="I128" s="8"/>
    </row>
    <row r="129" spans="1:9">
      <c r="A129" s="7">
        <v>46150</v>
      </c>
      <c r="B129" s="5" t="s">
        <v>101</v>
      </c>
      <c r="C129" s="5">
        <v>0</v>
      </c>
      <c r="D129" s="5">
        <v>0</v>
      </c>
      <c r="E129" s="5">
        <v>0</v>
      </c>
      <c r="F129" s="5">
        <v>0</v>
      </c>
      <c r="G129" s="6">
        <f t="shared" si="1"/>
        <v>0</v>
      </c>
      <c r="H129" s="92"/>
      <c r="I129" s="8"/>
    </row>
    <row r="130" spans="1:9">
      <c r="A130" s="7">
        <v>46151</v>
      </c>
      <c r="B130" s="5" t="s">
        <v>101</v>
      </c>
      <c r="C130" s="5">
        <v>0</v>
      </c>
      <c r="D130" s="5">
        <v>0</v>
      </c>
      <c r="E130" s="5">
        <v>0</v>
      </c>
      <c r="F130" s="5">
        <v>0</v>
      </c>
      <c r="G130" s="6">
        <f t="shared" si="1"/>
        <v>0</v>
      </c>
      <c r="H130" s="92"/>
      <c r="I130" s="8"/>
    </row>
    <row r="131" spans="1:9">
      <c r="A131" s="7">
        <v>46152</v>
      </c>
      <c r="B131" s="5" t="s">
        <v>101</v>
      </c>
      <c r="C131" s="5">
        <v>0</v>
      </c>
      <c r="D131" s="5">
        <v>0</v>
      </c>
      <c r="E131" s="5">
        <v>0</v>
      </c>
      <c r="F131" s="5">
        <v>0</v>
      </c>
      <c r="G131" s="6">
        <f t="shared" ref="G131:G194" si="2">SUM(F131,E131,C131-D131)</f>
        <v>0</v>
      </c>
      <c r="H131" s="93"/>
      <c r="I131" s="8"/>
    </row>
    <row r="132" spans="1:9">
      <c r="A132" s="7">
        <v>46153</v>
      </c>
      <c r="B132" s="5" t="s">
        <v>101</v>
      </c>
      <c r="C132" s="5">
        <v>0</v>
      </c>
      <c r="D132" s="5">
        <v>0</v>
      </c>
      <c r="E132" s="5">
        <v>0</v>
      </c>
      <c r="F132" s="5">
        <v>0</v>
      </c>
      <c r="G132" s="6">
        <f t="shared" si="2"/>
        <v>0</v>
      </c>
      <c r="H132" s="91">
        <f>SUM(G132:G138)</f>
        <v>0</v>
      </c>
      <c r="I132" s="8"/>
    </row>
    <row r="133" spans="1:9">
      <c r="A133" s="7">
        <v>46154</v>
      </c>
      <c r="B133" s="5" t="s">
        <v>101</v>
      </c>
      <c r="C133" s="5">
        <v>0</v>
      </c>
      <c r="D133" s="5">
        <v>0</v>
      </c>
      <c r="E133" s="5">
        <v>0</v>
      </c>
      <c r="F133" s="5">
        <v>0</v>
      </c>
      <c r="G133" s="6">
        <f t="shared" si="2"/>
        <v>0</v>
      </c>
      <c r="H133" s="92"/>
      <c r="I133" s="8"/>
    </row>
    <row r="134" spans="1:9">
      <c r="A134" s="7">
        <v>46155</v>
      </c>
      <c r="B134" s="5" t="s">
        <v>101</v>
      </c>
      <c r="C134" s="5">
        <v>0</v>
      </c>
      <c r="D134" s="5">
        <v>0</v>
      </c>
      <c r="E134" s="5">
        <v>0</v>
      </c>
      <c r="F134" s="5">
        <v>0</v>
      </c>
      <c r="G134" s="6">
        <f t="shared" si="2"/>
        <v>0</v>
      </c>
      <c r="H134" s="92"/>
      <c r="I134" s="8"/>
    </row>
    <row r="135" spans="1:9">
      <c r="A135" s="7">
        <v>46156</v>
      </c>
      <c r="B135" s="5" t="s">
        <v>101</v>
      </c>
      <c r="C135" s="5">
        <v>0</v>
      </c>
      <c r="D135" s="5">
        <v>0</v>
      </c>
      <c r="E135" s="5">
        <v>0</v>
      </c>
      <c r="F135" s="5">
        <v>0</v>
      </c>
      <c r="G135" s="6">
        <f t="shared" si="2"/>
        <v>0</v>
      </c>
      <c r="H135" s="92"/>
      <c r="I135" s="8"/>
    </row>
    <row r="136" spans="1:9">
      <c r="A136" s="7">
        <v>46157</v>
      </c>
      <c r="B136" s="5" t="s">
        <v>101</v>
      </c>
      <c r="C136" s="5">
        <v>0</v>
      </c>
      <c r="D136" s="5">
        <v>0</v>
      </c>
      <c r="E136" s="5">
        <v>0</v>
      </c>
      <c r="F136" s="5">
        <v>0</v>
      </c>
      <c r="G136" s="6">
        <f t="shared" si="2"/>
        <v>0</v>
      </c>
      <c r="H136" s="92"/>
      <c r="I136" s="8"/>
    </row>
    <row r="137" spans="1:9">
      <c r="A137" s="7">
        <v>46158</v>
      </c>
      <c r="B137" s="5" t="s">
        <v>101</v>
      </c>
      <c r="C137" s="5">
        <v>0</v>
      </c>
      <c r="D137" s="5">
        <v>0</v>
      </c>
      <c r="E137" s="5">
        <v>0</v>
      </c>
      <c r="F137" s="5">
        <v>0</v>
      </c>
      <c r="G137" s="6">
        <f t="shared" si="2"/>
        <v>0</v>
      </c>
      <c r="H137" s="92"/>
      <c r="I137" s="8"/>
    </row>
    <row r="138" spans="1:9">
      <c r="A138" s="7">
        <v>46159</v>
      </c>
      <c r="B138" s="5" t="s">
        <v>101</v>
      </c>
      <c r="C138" s="5">
        <v>0</v>
      </c>
      <c r="D138" s="5">
        <v>0</v>
      </c>
      <c r="E138" s="5">
        <v>0</v>
      </c>
      <c r="F138" s="5">
        <v>0</v>
      </c>
      <c r="G138" s="6">
        <f t="shared" si="2"/>
        <v>0</v>
      </c>
      <c r="H138" s="93"/>
      <c r="I138" s="8"/>
    </row>
    <row r="139" spans="1:9">
      <c r="A139" s="7">
        <v>46160</v>
      </c>
      <c r="B139" s="5" t="s">
        <v>101</v>
      </c>
      <c r="C139" s="5">
        <v>0</v>
      </c>
      <c r="D139" s="5">
        <v>0</v>
      </c>
      <c r="E139" s="5">
        <v>0</v>
      </c>
      <c r="F139" s="5">
        <v>0</v>
      </c>
      <c r="G139" s="6">
        <f t="shared" si="2"/>
        <v>0</v>
      </c>
      <c r="H139" s="91">
        <f>SUM(G139:G145)</f>
        <v>0</v>
      </c>
      <c r="I139" s="8"/>
    </row>
    <row r="140" spans="1:9">
      <c r="A140" s="7">
        <v>46161</v>
      </c>
      <c r="B140" s="5" t="s">
        <v>101</v>
      </c>
      <c r="C140" s="5">
        <v>0</v>
      </c>
      <c r="D140" s="5">
        <v>0</v>
      </c>
      <c r="E140" s="5">
        <v>0</v>
      </c>
      <c r="F140" s="5">
        <v>0</v>
      </c>
      <c r="G140" s="6">
        <f t="shared" si="2"/>
        <v>0</v>
      </c>
      <c r="H140" s="92"/>
      <c r="I140" s="8"/>
    </row>
    <row r="141" spans="1:9">
      <c r="A141" s="7">
        <v>46162</v>
      </c>
      <c r="B141" s="5" t="s">
        <v>101</v>
      </c>
      <c r="C141" s="5">
        <v>0</v>
      </c>
      <c r="D141" s="5">
        <v>0</v>
      </c>
      <c r="E141" s="5">
        <v>0</v>
      </c>
      <c r="F141" s="5">
        <v>0</v>
      </c>
      <c r="G141" s="6">
        <f t="shared" si="2"/>
        <v>0</v>
      </c>
      <c r="H141" s="92"/>
      <c r="I141" s="8"/>
    </row>
    <row r="142" spans="1:9">
      <c r="A142" s="7">
        <v>46163</v>
      </c>
      <c r="B142" s="5" t="s">
        <v>101</v>
      </c>
      <c r="C142" s="5">
        <v>0</v>
      </c>
      <c r="D142" s="5">
        <v>0</v>
      </c>
      <c r="E142" s="5">
        <v>0</v>
      </c>
      <c r="F142" s="5">
        <v>0</v>
      </c>
      <c r="G142" s="6">
        <f t="shared" si="2"/>
        <v>0</v>
      </c>
      <c r="H142" s="92"/>
      <c r="I142" s="8"/>
    </row>
    <row r="143" spans="1:9">
      <c r="A143" s="7">
        <v>46164</v>
      </c>
      <c r="B143" s="5" t="s">
        <v>101</v>
      </c>
      <c r="C143" s="5">
        <v>0</v>
      </c>
      <c r="D143" s="5">
        <v>0</v>
      </c>
      <c r="E143" s="5">
        <v>0</v>
      </c>
      <c r="F143" s="5">
        <v>0</v>
      </c>
      <c r="G143" s="6">
        <f t="shared" si="2"/>
        <v>0</v>
      </c>
      <c r="H143" s="92"/>
      <c r="I143" s="8"/>
    </row>
    <row r="144" spans="1:9">
      <c r="A144" s="7">
        <v>46165</v>
      </c>
      <c r="B144" s="5" t="s">
        <v>101</v>
      </c>
      <c r="C144" s="5">
        <v>0</v>
      </c>
      <c r="D144" s="5">
        <v>0</v>
      </c>
      <c r="E144" s="5">
        <v>0</v>
      </c>
      <c r="F144" s="5">
        <v>0</v>
      </c>
      <c r="G144" s="6">
        <f t="shared" si="2"/>
        <v>0</v>
      </c>
      <c r="H144" s="92"/>
      <c r="I144" s="8"/>
    </row>
    <row r="145" spans="1:9">
      <c r="A145" s="7">
        <v>46166</v>
      </c>
      <c r="B145" s="5" t="s">
        <v>101</v>
      </c>
      <c r="C145" s="5">
        <v>0</v>
      </c>
      <c r="D145" s="5">
        <v>0</v>
      </c>
      <c r="E145" s="5">
        <v>0</v>
      </c>
      <c r="F145" s="5">
        <v>0</v>
      </c>
      <c r="G145" s="6">
        <f t="shared" si="2"/>
        <v>0</v>
      </c>
      <c r="H145" s="93"/>
      <c r="I145" s="8"/>
    </row>
    <row r="146" spans="1:9">
      <c r="A146" s="7">
        <v>46167</v>
      </c>
      <c r="B146" s="5" t="s">
        <v>101</v>
      </c>
      <c r="C146" s="5">
        <v>0</v>
      </c>
      <c r="D146" s="5">
        <v>0</v>
      </c>
      <c r="E146" s="5">
        <v>0</v>
      </c>
      <c r="F146" s="5">
        <v>0</v>
      </c>
      <c r="G146" s="6">
        <f t="shared" si="2"/>
        <v>0</v>
      </c>
      <c r="H146" s="91">
        <f>SUM(G146:G152)</f>
        <v>0</v>
      </c>
      <c r="I146" s="8"/>
    </row>
    <row r="147" spans="1:9">
      <c r="A147" s="7">
        <v>46168</v>
      </c>
      <c r="B147" s="5" t="s">
        <v>101</v>
      </c>
      <c r="C147" s="5">
        <v>0</v>
      </c>
      <c r="D147" s="5">
        <v>0</v>
      </c>
      <c r="E147" s="5">
        <v>0</v>
      </c>
      <c r="F147" s="5">
        <v>0</v>
      </c>
      <c r="G147" s="6">
        <f t="shared" si="2"/>
        <v>0</v>
      </c>
      <c r="H147" s="92"/>
      <c r="I147" s="8"/>
    </row>
    <row r="148" spans="1:9">
      <c r="A148" s="7">
        <v>46169</v>
      </c>
      <c r="B148" s="5" t="s">
        <v>101</v>
      </c>
      <c r="C148" s="5">
        <v>0</v>
      </c>
      <c r="D148" s="5">
        <v>0</v>
      </c>
      <c r="E148" s="5">
        <v>0</v>
      </c>
      <c r="F148" s="5">
        <v>0</v>
      </c>
      <c r="G148" s="6">
        <f t="shared" si="2"/>
        <v>0</v>
      </c>
      <c r="H148" s="92"/>
      <c r="I148" s="8"/>
    </row>
    <row r="149" spans="1:9">
      <c r="A149" s="7">
        <v>46170</v>
      </c>
      <c r="B149" s="5" t="s">
        <v>101</v>
      </c>
      <c r="C149" s="5">
        <v>0</v>
      </c>
      <c r="D149" s="5">
        <v>0</v>
      </c>
      <c r="E149" s="5">
        <v>0</v>
      </c>
      <c r="F149" s="5">
        <v>0</v>
      </c>
      <c r="G149" s="6">
        <f t="shared" si="2"/>
        <v>0</v>
      </c>
      <c r="H149" s="92"/>
      <c r="I149" s="8"/>
    </row>
    <row r="150" spans="1:9">
      <c r="A150" s="7">
        <v>46171</v>
      </c>
      <c r="B150" s="5" t="s">
        <v>101</v>
      </c>
      <c r="C150" s="5">
        <v>0</v>
      </c>
      <c r="D150" s="5">
        <v>0</v>
      </c>
      <c r="E150" s="5">
        <v>0</v>
      </c>
      <c r="F150" s="5">
        <v>0</v>
      </c>
      <c r="G150" s="6">
        <f t="shared" si="2"/>
        <v>0</v>
      </c>
      <c r="H150" s="92"/>
      <c r="I150" s="8"/>
    </row>
    <row r="151" spans="1:9">
      <c r="A151" s="7">
        <v>46172</v>
      </c>
      <c r="B151" s="5" t="s">
        <v>101</v>
      </c>
      <c r="C151" s="5">
        <v>0</v>
      </c>
      <c r="D151" s="5">
        <v>0</v>
      </c>
      <c r="E151" s="5">
        <v>0</v>
      </c>
      <c r="F151" s="5">
        <v>0</v>
      </c>
      <c r="G151" s="6">
        <f t="shared" si="2"/>
        <v>0</v>
      </c>
      <c r="H151" s="92"/>
      <c r="I151" s="8"/>
    </row>
    <row r="152" spans="1:9">
      <c r="A152" s="7">
        <v>46173</v>
      </c>
      <c r="B152" s="5" t="s">
        <v>101</v>
      </c>
      <c r="C152" s="5">
        <v>0</v>
      </c>
      <c r="D152" s="5">
        <v>0</v>
      </c>
      <c r="E152" s="5">
        <v>0</v>
      </c>
      <c r="F152" s="5">
        <v>0</v>
      </c>
      <c r="G152" s="6">
        <f t="shared" si="2"/>
        <v>0</v>
      </c>
      <c r="H152" s="93"/>
      <c r="I152" s="8"/>
    </row>
    <row r="153" spans="1:9">
      <c r="A153" s="7">
        <v>46174</v>
      </c>
      <c r="B153" s="5" t="s">
        <v>101</v>
      </c>
      <c r="C153" s="5">
        <v>0</v>
      </c>
      <c r="D153" s="5">
        <v>0</v>
      </c>
      <c r="E153" s="5">
        <v>0</v>
      </c>
      <c r="F153" s="5">
        <v>0</v>
      </c>
      <c r="G153" s="6">
        <f t="shared" si="2"/>
        <v>0</v>
      </c>
      <c r="H153" s="91">
        <f>SUM(G153:G159)</f>
        <v>0</v>
      </c>
      <c r="I153" s="8"/>
    </row>
    <row r="154" spans="1:9">
      <c r="A154" s="7">
        <v>46175</v>
      </c>
      <c r="B154" s="5" t="s">
        <v>101</v>
      </c>
      <c r="C154" s="5">
        <v>0</v>
      </c>
      <c r="D154" s="5">
        <v>0</v>
      </c>
      <c r="E154" s="5">
        <v>0</v>
      </c>
      <c r="F154" s="5">
        <v>0</v>
      </c>
      <c r="G154" s="6">
        <f t="shared" si="2"/>
        <v>0</v>
      </c>
      <c r="H154" s="92"/>
      <c r="I154" s="8"/>
    </row>
    <row r="155" spans="1:9">
      <c r="A155" s="7">
        <v>46176</v>
      </c>
      <c r="B155" s="5" t="s">
        <v>101</v>
      </c>
      <c r="C155" s="5">
        <v>0</v>
      </c>
      <c r="D155" s="5">
        <v>0</v>
      </c>
      <c r="E155" s="5">
        <v>0</v>
      </c>
      <c r="F155" s="5">
        <v>0</v>
      </c>
      <c r="G155" s="6">
        <f t="shared" si="2"/>
        <v>0</v>
      </c>
      <c r="H155" s="92"/>
      <c r="I155" s="8"/>
    </row>
    <row r="156" spans="1:9">
      <c r="A156" s="7">
        <v>46177</v>
      </c>
      <c r="B156" s="5" t="s">
        <v>101</v>
      </c>
      <c r="C156" s="5">
        <v>0</v>
      </c>
      <c r="D156" s="5">
        <v>0</v>
      </c>
      <c r="E156" s="5">
        <v>0</v>
      </c>
      <c r="F156" s="5">
        <v>0</v>
      </c>
      <c r="G156" s="6">
        <f t="shared" si="2"/>
        <v>0</v>
      </c>
      <c r="H156" s="92"/>
      <c r="I156" s="8"/>
    </row>
    <row r="157" spans="1:9">
      <c r="A157" s="7">
        <v>46178</v>
      </c>
      <c r="B157" s="5" t="s">
        <v>101</v>
      </c>
      <c r="C157" s="5">
        <v>0</v>
      </c>
      <c r="D157" s="5">
        <v>0</v>
      </c>
      <c r="E157" s="5">
        <v>0</v>
      </c>
      <c r="F157" s="5">
        <v>0</v>
      </c>
      <c r="G157" s="6">
        <f t="shared" si="2"/>
        <v>0</v>
      </c>
      <c r="H157" s="92"/>
      <c r="I157" s="8"/>
    </row>
    <row r="158" spans="1:9">
      <c r="A158" s="7">
        <v>46179</v>
      </c>
      <c r="B158" s="5" t="s">
        <v>101</v>
      </c>
      <c r="C158" s="5">
        <v>0</v>
      </c>
      <c r="D158" s="5">
        <v>0</v>
      </c>
      <c r="E158" s="5">
        <v>0</v>
      </c>
      <c r="F158" s="5">
        <v>0</v>
      </c>
      <c r="G158" s="6">
        <f t="shared" si="2"/>
        <v>0</v>
      </c>
      <c r="H158" s="92"/>
      <c r="I158" s="8"/>
    </row>
    <row r="159" spans="1:9">
      <c r="A159" s="7">
        <v>46180</v>
      </c>
      <c r="B159" s="5" t="s">
        <v>101</v>
      </c>
      <c r="C159" s="5">
        <v>0</v>
      </c>
      <c r="D159" s="5">
        <v>0</v>
      </c>
      <c r="E159" s="5">
        <v>0</v>
      </c>
      <c r="F159" s="5">
        <v>0</v>
      </c>
      <c r="G159" s="6">
        <f t="shared" si="2"/>
        <v>0</v>
      </c>
      <c r="H159" s="93"/>
      <c r="I159" s="8"/>
    </row>
    <row r="160" spans="1:9">
      <c r="A160" s="7">
        <v>46181</v>
      </c>
      <c r="B160" s="5" t="s">
        <v>101</v>
      </c>
      <c r="C160" s="5">
        <v>0</v>
      </c>
      <c r="D160" s="5">
        <v>0</v>
      </c>
      <c r="E160" s="5">
        <v>0</v>
      </c>
      <c r="F160" s="5">
        <v>0</v>
      </c>
      <c r="G160" s="6">
        <f t="shared" si="2"/>
        <v>0</v>
      </c>
      <c r="H160" s="91">
        <f>SUM(G160:G166)</f>
        <v>0</v>
      </c>
      <c r="I160" s="8"/>
    </row>
    <row r="161" spans="1:9">
      <c r="A161" s="7">
        <v>46182</v>
      </c>
      <c r="B161" s="5" t="s">
        <v>101</v>
      </c>
      <c r="C161" s="5">
        <v>0</v>
      </c>
      <c r="D161" s="5">
        <v>0</v>
      </c>
      <c r="E161" s="5">
        <v>0</v>
      </c>
      <c r="F161" s="5">
        <v>0</v>
      </c>
      <c r="G161" s="6">
        <f t="shared" si="2"/>
        <v>0</v>
      </c>
      <c r="H161" s="92"/>
      <c r="I161" s="8"/>
    </row>
    <row r="162" spans="1:9">
      <c r="A162" s="7">
        <v>46183</v>
      </c>
      <c r="B162" s="5" t="s">
        <v>101</v>
      </c>
      <c r="C162" s="5">
        <v>0</v>
      </c>
      <c r="D162" s="5">
        <v>0</v>
      </c>
      <c r="E162" s="5">
        <v>0</v>
      </c>
      <c r="F162" s="5">
        <v>0</v>
      </c>
      <c r="G162" s="6">
        <f t="shared" si="2"/>
        <v>0</v>
      </c>
      <c r="H162" s="92"/>
      <c r="I162" s="8"/>
    </row>
    <row r="163" spans="1:9">
      <c r="A163" s="7">
        <v>46184</v>
      </c>
      <c r="B163" s="5" t="s">
        <v>101</v>
      </c>
      <c r="C163" s="5">
        <v>0</v>
      </c>
      <c r="D163" s="5">
        <v>0</v>
      </c>
      <c r="E163" s="5">
        <v>0</v>
      </c>
      <c r="F163" s="5">
        <v>0</v>
      </c>
      <c r="G163" s="6">
        <f t="shared" si="2"/>
        <v>0</v>
      </c>
      <c r="H163" s="92"/>
      <c r="I163" s="8"/>
    </row>
    <row r="164" spans="1:9">
      <c r="A164" s="7">
        <v>46185</v>
      </c>
      <c r="B164" s="5" t="s">
        <v>101</v>
      </c>
      <c r="C164" s="5">
        <v>0</v>
      </c>
      <c r="D164" s="5">
        <v>0</v>
      </c>
      <c r="E164" s="5">
        <v>0</v>
      </c>
      <c r="F164" s="5">
        <v>0</v>
      </c>
      <c r="G164" s="6">
        <f t="shared" si="2"/>
        <v>0</v>
      </c>
      <c r="H164" s="92"/>
      <c r="I164" s="8"/>
    </row>
    <row r="165" spans="1:9">
      <c r="A165" s="7">
        <v>46186</v>
      </c>
      <c r="B165" s="5" t="s">
        <v>101</v>
      </c>
      <c r="C165" s="5">
        <v>0</v>
      </c>
      <c r="D165" s="5">
        <v>0</v>
      </c>
      <c r="E165" s="5">
        <v>0</v>
      </c>
      <c r="F165" s="5">
        <v>0</v>
      </c>
      <c r="G165" s="6">
        <f t="shared" si="2"/>
        <v>0</v>
      </c>
      <c r="H165" s="92"/>
      <c r="I165" s="8"/>
    </row>
    <row r="166" spans="1:9">
      <c r="A166" s="7">
        <v>46187</v>
      </c>
      <c r="B166" s="5" t="s">
        <v>101</v>
      </c>
      <c r="C166" s="5">
        <v>0</v>
      </c>
      <c r="D166" s="5">
        <v>0</v>
      </c>
      <c r="E166" s="5">
        <v>0</v>
      </c>
      <c r="F166" s="5">
        <v>0</v>
      </c>
      <c r="G166" s="6">
        <f t="shared" si="2"/>
        <v>0</v>
      </c>
      <c r="H166" s="93"/>
      <c r="I166" s="8"/>
    </row>
    <row r="167" spans="1:9">
      <c r="A167" s="7">
        <v>46188</v>
      </c>
      <c r="B167" s="5" t="s">
        <v>101</v>
      </c>
      <c r="C167" s="5">
        <v>0</v>
      </c>
      <c r="D167" s="5">
        <v>0</v>
      </c>
      <c r="E167" s="5">
        <v>0</v>
      </c>
      <c r="F167" s="5">
        <v>0</v>
      </c>
      <c r="G167" s="6">
        <f t="shared" si="2"/>
        <v>0</v>
      </c>
      <c r="H167" s="91">
        <f>SUM(G167:G173)</f>
        <v>0</v>
      </c>
      <c r="I167" s="8"/>
    </row>
    <row r="168" spans="1:9">
      <c r="A168" s="7">
        <v>46189</v>
      </c>
      <c r="B168" s="5" t="s">
        <v>101</v>
      </c>
      <c r="C168" s="5">
        <v>0</v>
      </c>
      <c r="D168" s="5">
        <v>0</v>
      </c>
      <c r="E168" s="5">
        <v>0</v>
      </c>
      <c r="F168" s="5">
        <v>0</v>
      </c>
      <c r="G168" s="6">
        <f t="shared" si="2"/>
        <v>0</v>
      </c>
      <c r="H168" s="92"/>
      <c r="I168" s="8"/>
    </row>
    <row r="169" spans="1:9">
      <c r="A169" s="7">
        <v>46190</v>
      </c>
      <c r="B169" s="5" t="s">
        <v>101</v>
      </c>
      <c r="C169" s="5">
        <v>0</v>
      </c>
      <c r="D169" s="5">
        <v>0</v>
      </c>
      <c r="E169" s="5">
        <v>0</v>
      </c>
      <c r="F169" s="5">
        <v>0</v>
      </c>
      <c r="G169" s="6">
        <f t="shared" si="2"/>
        <v>0</v>
      </c>
      <c r="H169" s="92"/>
      <c r="I169" s="8"/>
    </row>
    <row r="170" spans="1:9">
      <c r="A170" s="7">
        <v>46191</v>
      </c>
      <c r="B170" s="5" t="s">
        <v>101</v>
      </c>
      <c r="C170" s="5">
        <v>0</v>
      </c>
      <c r="D170" s="5">
        <v>0</v>
      </c>
      <c r="E170" s="5">
        <v>0</v>
      </c>
      <c r="F170" s="5">
        <v>0</v>
      </c>
      <c r="G170" s="6">
        <f t="shared" si="2"/>
        <v>0</v>
      </c>
      <c r="H170" s="92"/>
      <c r="I170" s="8"/>
    </row>
    <row r="171" spans="1:9">
      <c r="A171" s="7">
        <v>46192</v>
      </c>
      <c r="B171" s="5" t="s">
        <v>101</v>
      </c>
      <c r="C171" s="5">
        <v>0</v>
      </c>
      <c r="D171" s="5">
        <v>0</v>
      </c>
      <c r="E171" s="5">
        <v>0</v>
      </c>
      <c r="F171" s="5">
        <v>0</v>
      </c>
      <c r="G171" s="6">
        <f t="shared" si="2"/>
        <v>0</v>
      </c>
      <c r="H171" s="92"/>
      <c r="I171" s="8"/>
    </row>
    <row r="172" spans="1:9">
      <c r="A172" s="7">
        <v>46193</v>
      </c>
      <c r="B172" s="5" t="s">
        <v>101</v>
      </c>
      <c r="C172" s="5">
        <v>0</v>
      </c>
      <c r="D172" s="5">
        <v>0</v>
      </c>
      <c r="E172" s="5">
        <v>0</v>
      </c>
      <c r="F172" s="5">
        <v>0</v>
      </c>
      <c r="G172" s="6">
        <f t="shared" si="2"/>
        <v>0</v>
      </c>
      <c r="H172" s="92"/>
      <c r="I172" s="8"/>
    </row>
    <row r="173" spans="1:9">
      <c r="A173" s="7">
        <v>46194</v>
      </c>
      <c r="B173" s="5" t="s">
        <v>101</v>
      </c>
      <c r="C173" s="5">
        <v>0</v>
      </c>
      <c r="D173" s="5">
        <v>0</v>
      </c>
      <c r="E173" s="5">
        <v>0</v>
      </c>
      <c r="F173" s="5">
        <v>0</v>
      </c>
      <c r="G173" s="6">
        <f t="shared" si="2"/>
        <v>0</v>
      </c>
      <c r="H173" s="93"/>
      <c r="I173" s="8"/>
    </row>
    <row r="174" spans="1:9">
      <c r="A174" s="7">
        <v>46195</v>
      </c>
      <c r="B174" s="5" t="s">
        <v>101</v>
      </c>
      <c r="C174" s="5">
        <v>0</v>
      </c>
      <c r="D174" s="5">
        <v>0</v>
      </c>
      <c r="E174" s="5">
        <v>0</v>
      </c>
      <c r="F174" s="5">
        <v>0</v>
      </c>
      <c r="G174" s="6">
        <f t="shared" si="2"/>
        <v>0</v>
      </c>
      <c r="H174" s="91">
        <f>SUM(G174:G180)</f>
        <v>0</v>
      </c>
      <c r="I174" s="8"/>
    </row>
    <row r="175" spans="1:9">
      <c r="A175" s="7">
        <v>46196</v>
      </c>
      <c r="B175" s="5" t="s">
        <v>101</v>
      </c>
      <c r="C175" s="5">
        <v>0</v>
      </c>
      <c r="D175" s="5">
        <v>0</v>
      </c>
      <c r="E175" s="5">
        <v>0</v>
      </c>
      <c r="F175" s="5">
        <v>0</v>
      </c>
      <c r="G175" s="6">
        <f t="shared" si="2"/>
        <v>0</v>
      </c>
      <c r="H175" s="92"/>
      <c r="I175" s="8"/>
    </row>
    <row r="176" spans="1:9">
      <c r="A176" s="7">
        <v>46197</v>
      </c>
      <c r="B176" s="5" t="s">
        <v>101</v>
      </c>
      <c r="C176" s="5">
        <v>0</v>
      </c>
      <c r="D176" s="5">
        <v>0</v>
      </c>
      <c r="E176" s="5">
        <v>0</v>
      </c>
      <c r="F176" s="5">
        <v>0</v>
      </c>
      <c r="G176" s="6">
        <f t="shared" si="2"/>
        <v>0</v>
      </c>
      <c r="H176" s="92"/>
      <c r="I176" s="8"/>
    </row>
    <row r="177" spans="1:9">
      <c r="A177" s="7">
        <v>46198</v>
      </c>
      <c r="B177" s="5" t="s">
        <v>101</v>
      </c>
      <c r="C177" s="5">
        <v>0</v>
      </c>
      <c r="D177" s="5">
        <v>0</v>
      </c>
      <c r="E177" s="5">
        <v>0</v>
      </c>
      <c r="F177" s="5">
        <v>0</v>
      </c>
      <c r="G177" s="6">
        <f t="shared" si="2"/>
        <v>0</v>
      </c>
      <c r="H177" s="92"/>
      <c r="I177" s="8"/>
    </row>
    <row r="178" spans="1:9">
      <c r="A178" s="7">
        <v>46199</v>
      </c>
      <c r="B178" s="5" t="s">
        <v>101</v>
      </c>
      <c r="C178" s="5">
        <v>0</v>
      </c>
      <c r="D178" s="5">
        <v>0</v>
      </c>
      <c r="E178" s="5">
        <v>0</v>
      </c>
      <c r="F178" s="5">
        <v>0</v>
      </c>
      <c r="G178" s="6">
        <f t="shared" si="2"/>
        <v>0</v>
      </c>
      <c r="H178" s="92"/>
      <c r="I178" s="8"/>
    </row>
    <row r="179" spans="1:9">
      <c r="A179" s="7">
        <v>46200</v>
      </c>
      <c r="B179" s="5" t="s">
        <v>101</v>
      </c>
      <c r="C179" s="5">
        <v>0</v>
      </c>
      <c r="D179" s="5">
        <v>0</v>
      </c>
      <c r="E179" s="5">
        <v>0</v>
      </c>
      <c r="F179" s="5">
        <v>0</v>
      </c>
      <c r="G179" s="6">
        <f t="shared" si="2"/>
        <v>0</v>
      </c>
      <c r="H179" s="92"/>
      <c r="I179" s="8"/>
    </row>
    <row r="180" spans="1:9">
      <c r="A180" s="7">
        <v>46201</v>
      </c>
      <c r="B180" s="5" t="s">
        <v>101</v>
      </c>
      <c r="C180" s="5">
        <v>0</v>
      </c>
      <c r="D180" s="5">
        <v>0</v>
      </c>
      <c r="E180" s="5">
        <v>0</v>
      </c>
      <c r="F180" s="5">
        <v>0</v>
      </c>
      <c r="G180" s="6">
        <f t="shared" si="2"/>
        <v>0</v>
      </c>
      <c r="H180" s="93"/>
      <c r="I180" s="8"/>
    </row>
    <row r="181" spans="1:9">
      <c r="A181" s="7">
        <v>46202</v>
      </c>
      <c r="B181" s="5" t="s">
        <v>101</v>
      </c>
      <c r="C181" s="5">
        <v>0</v>
      </c>
      <c r="D181" s="5">
        <v>0</v>
      </c>
      <c r="E181" s="5">
        <v>0</v>
      </c>
      <c r="F181" s="5">
        <v>0</v>
      </c>
      <c r="G181" s="6">
        <f t="shared" si="2"/>
        <v>0</v>
      </c>
      <c r="H181" s="91">
        <f>SUM(G181:G187)</f>
        <v>0</v>
      </c>
      <c r="I181" s="8"/>
    </row>
    <row r="182" spans="1:9">
      <c r="A182" s="7">
        <v>46203</v>
      </c>
      <c r="B182" s="5" t="s">
        <v>101</v>
      </c>
      <c r="C182" s="5">
        <v>0</v>
      </c>
      <c r="D182" s="5">
        <v>0</v>
      </c>
      <c r="E182" s="5">
        <v>0</v>
      </c>
      <c r="F182" s="5">
        <v>0</v>
      </c>
      <c r="G182" s="6">
        <f t="shared" si="2"/>
        <v>0</v>
      </c>
      <c r="H182" s="92"/>
      <c r="I182" s="8"/>
    </row>
    <row r="183" spans="1:9">
      <c r="A183" s="7">
        <v>46204</v>
      </c>
      <c r="B183" s="5" t="s">
        <v>101</v>
      </c>
      <c r="C183" s="5">
        <v>0</v>
      </c>
      <c r="D183" s="5">
        <v>0</v>
      </c>
      <c r="E183" s="5">
        <v>0</v>
      </c>
      <c r="F183" s="5">
        <v>0</v>
      </c>
      <c r="G183" s="6">
        <f t="shared" si="2"/>
        <v>0</v>
      </c>
      <c r="H183" s="92"/>
      <c r="I183" s="8"/>
    </row>
    <row r="184" spans="1:9">
      <c r="A184" s="7">
        <v>46205</v>
      </c>
      <c r="B184" s="5" t="s">
        <v>101</v>
      </c>
      <c r="C184" s="5">
        <v>0</v>
      </c>
      <c r="D184" s="5">
        <v>0</v>
      </c>
      <c r="E184" s="5">
        <v>0</v>
      </c>
      <c r="F184" s="5">
        <v>0</v>
      </c>
      <c r="G184" s="6">
        <f t="shared" si="2"/>
        <v>0</v>
      </c>
      <c r="H184" s="92"/>
      <c r="I184" s="8"/>
    </row>
    <row r="185" spans="1:9">
      <c r="A185" s="7">
        <v>46206</v>
      </c>
      <c r="B185" s="5" t="s">
        <v>101</v>
      </c>
      <c r="C185" s="5">
        <v>0</v>
      </c>
      <c r="D185" s="5">
        <v>0</v>
      </c>
      <c r="E185" s="5">
        <v>0</v>
      </c>
      <c r="F185" s="5">
        <v>0</v>
      </c>
      <c r="G185" s="6">
        <f t="shared" si="2"/>
        <v>0</v>
      </c>
      <c r="H185" s="92"/>
      <c r="I185" s="8"/>
    </row>
    <row r="186" spans="1:9">
      <c r="A186" s="7">
        <v>46207</v>
      </c>
      <c r="B186" s="5" t="s">
        <v>101</v>
      </c>
      <c r="C186" s="5">
        <v>0</v>
      </c>
      <c r="D186" s="5">
        <v>0</v>
      </c>
      <c r="E186" s="5">
        <v>0</v>
      </c>
      <c r="F186" s="5">
        <v>0</v>
      </c>
      <c r="G186" s="6">
        <f t="shared" si="2"/>
        <v>0</v>
      </c>
      <c r="H186" s="92"/>
      <c r="I186" s="8"/>
    </row>
    <row r="187" spans="1:9">
      <c r="A187" s="7">
        <v>46208</v>
      </c>
      <c r="B187" s="5" t="s">
        <v>101</v>
      </c>
      <c r="C187" s="5">
        <v>0</v>
      </c>
      <c r="D187" s="5">
        <v>0</v>
      </c>
      <c r="E187" s="5">
        <v>0</v>
      </c>
      <c r="F187" s="5">
        <v>0</v>
      </c>
      <c r="G187" s="6">
        <f t="shared" si="2"/>
        <v>0</v>
      </c>
      <c r="H187" s="93"/>
      <c r="I187" s="8"/>
    </row>
    <row r="188" spans="1:9">
      <c r="A188" s="7">
        <v>46209</v>
      </c>
      <c r="B188" s="5" t="s">
        <v>101</v>
      </c>
      <c r="C188" s="5">
        <v>0</v>
      </c>
      <c r="D188" s="5">
        <v>0</v>
      </c>
      <c r="E188" s="5">
        <v>0</v>
      </c>
      <c r="F188" s="5">
        <v>0</v>
      </c>
      <c r="G188" s="6">
        <f t="shared" si="2"/>
        <v>0</v>
      </c>
      <c r="H188" s="91">
        <f>SUM(G188:G194)</f>
        <v>0</v>
      </c>
      <c r="I188" s="8"/>
    </row>
    <row r="189" spans="1:9">
      <c r="A189" s="7">
        <v>46210</v>
      </c>
      <c r="B189" s="5" t="s">
        <v>101</v>
      </c>
      <c r="C189" s="5">
        <v>0</v>
      </c>
      <c r="D189" s="5">
        <v>0</v>
      </c>
      <c r="E189" s="5">
        <v>0</v>
      </c>
      <c r="F189" s="5">
        <v>0</v>
      </c>
      <c r="G189" s="6">
        <f t="shared" si="2"/>
        <v>0</v>
      </c>
      <c r="H189" s="92"/>
      <c r="I189" s="8"/>
    </row>
    <row r="190" spans="1:9">
      <c r="A190" s="7">
        <v>46211</v>
      </c>
      <c r="B190" s="5" t="s">
        <v>101</v>
      </c>
      <c r="C190" s="5">
        <v>0</v>
      </c>
      <c r="D190" s="5">
        <v>0</v>
      </c>
      <c r="E190" s="5">
        <v>0</v>
      </c>
      <c r="F190" s="5">
        <v>0</v>
      </c>
      <c r="G190" s="6">
        <f t="shared" si="2"/>
        <v>0</v>
      </c>
      <c r="H190" s="92"/>
      <c r="I190" s="8"/>
    </row>
    <row r="191" spans="1:9">
      <c r="A191" s="7">
        <v>46212</v>
      </c>
      <c r="B191" s="5" t="s">
        <v>101</v>
      </c>
      <c r="C191" s="5">
        <v>0</v>
      </c>
      <c r="D191" s="5">
        <v>0</v>
      </c>
      <c r="E191" s="5">
        <v>0</v>
      </c>
      <c r="F191" s="5">
        <v>0</v>
      </c>
      <c r="G191" s="6">
        <f t="shared" si="2"/>
        <v>0</v>
      </c>
      <c r="H191" s="92"/>
      <c r="I191" s="8"/>
    </row>
    <row r="192" spans="1:9">
      <c r="A192" s="7">
        <v>46213</v>
      </c>
      <c r="B192" s="5" t="s">
        <v>101</v>
      </c>
      <c r="C192" s="5">
        <v>0</v>
      </c>
      <c r="D192" s="5">
        <v>0</v>
      </c>
      <c r="E192" s="5">
        <v>0</v>
      </c>
      <c r="F192" s="5">
        <v>0</v>
      </c>
      <c r="G192" s="6">
        <f t="shared" si="2"/>
        <v>0</v>
      </c>
      <c r="H192" s="92"/>
      <c r="I192" s="8"/>
    </row>
    <row r="193" spans="1:9">
      <c r="A193" s="7">
        <v>46214</v>
      </c>
      <c r="B193" s="5" t="s">
        <v>101</v>
      </c>
      <c r="C193" s="5">
        <v>0</v>
      </c>
      <c r="D193" s="5">
        <v>0</v>
      </c>
      <c r="E193" s="5">
        <v>0</v>
      </c>
      <c r="F193" s="5">
        <v>0</v>
      </c>
      <c r="G193" s="6">
        <f t="shared" si="2"/>
        <v>0</v>
      </c>
      <c r="H193" s="92"/>
      <c r="I193" s="8"/>
    </row>
    <row r="194" spans="1:9">
      <c r="A194" s="7">
        <v>46215</v>
      </c>
      <c r="B194" s="5" t="s">
        <v>101</v>
      </c>
      <c r="C194" s="5">
        <v>0</v>
      </c>
      <c r="D194" s="5">
        <v>0</v>
      </c>
      <c r="E194" s="5">
        <v>0</v>
      </c>
      <c r="F194" s="5">
        <v>0</v>
      </c>
      <c r="G194" s="6">
        <f t="shared" si="2"/>
        <v>0</v>
      </c>
      <c r="H194" s="93"/>
      <c r="I194" s="8"/>
    </row>
    <row r="195" spans="1:9">
      <c r="A195" s="7">
        <v>46216</v>
      </c>
      <c r="B195" s="5" t="s">
        <v>101</v>
      </c>
      <c r="C195" s="5">
        <v>0</v>
      </c>
      <c r="D195" s="5">
        <v>0</v>
      </c>
      <c r="E195" s="5">
        <v>0</v>
      </c>
      <c r="F195" s="5">
        <v>0</v>
      </c>
      <c r="G195" s="6">
        <f t="shared" ref="G195:G258" si="3">SUM(F195,E195,C195-D195)</f>
        <v>0</v>
      </c>
      <c r="H195" s="91">
        <f>SUM(G195:G201)</f>
        <v>0</v>
      </c>
      <c r="I195" s="8"/>
    </row>
    <row r="196" spans="1:9">
      <c r="A196" s="7">
        <v>46217</v>
      </c>
      <c r="B196" s="5" t="s">
        <v>101</v>
      </c>
      <c r="C196" s="5">
        <v>0</v>
      </c>
      <c r="D196" s="5">
        <v>0</v>
      </c>
      <c r="E196" s="5">
        <v>0</v>
      </c>
      <c r="F196" s="5">
        <v>0</v>
      </c>
      <c r="G196" s="6">
        <f t="shared" si="3"/>
        <v>0</v>
      </c>
      <c r="H196" s="92"/>
      <c r="I196" s="8"/>
    </row>
    <row r="197" spans="1:9">
      <c r="A197" s="7">
        <v>46218</v>
      </c>
      <c r="B197" s="5" t="s">
        <v>101</v>
      </c>
      <c r="C197" s="5">
        <v>0</v>
      </c>
      <c r="D197" s="5">
        <v>0</v>
      </c>
      <c r="E197" s="5">
        <v>0</v>
      </c>
      <c r="F197" s="5">
        <v>0</v>
      </c>
      <c r="G197" s="6">
        <f t="shared" si="3"/>
        <v>0</v>
      </c>
      <c r="H197" s="92"/>
      <c r="I197" s="8"/>
    </row>
    <row r="198" spans="1:9">
      <c r="A198" s="7">
        <v>46219</v>
      </c>
      <c r="B198" s="5" t="s">
        <v>101</v>
      </c>
      <c r="C198" s="5">
        <v>0</v>
      </c>
      <c r="D198" s="5">
        <v>0</v>
      </c>
      <c r="E198" s="5">
        <v>0</v>
      </c>
      <c r="F198" s="5">
        <v>0</v>
      </c>
      <c r="G198" s="6">
        <f t="shared" si="3"/>
        <v>0</v>
      </c>
      <c r="H198" s="92"/>
      <c r="I198" s="8"/>
    </row>
    <row r="199" spans="1:9">
      <c r="A199" s="7">
        <v>46220</v>
      </c>
      <c r="B199" s="5" t="s">
        <v>101</v>
      </c>
      <c r="C199" s="5">
        <v>0</v>
      </c>
      <c r="D199" s="5">
        <v>0</v>
      </c>
      <c r="E199" s="5">
        <v>0</v>
      </c>
      <c r="F199" s="5">
        <v>0</v>
      </c>
      <c r="G199" s="6">
        <f t="shared" si="3"/>
        <v>0</v>
      </c>
      <c r="H199" s="92"/>
      <c r="I199" s="8"/>
    </row>
    <row r="200" spans="1:9">
      <c r="A200" s="7">
        <v>46221</v>
      </c>
      <c r="B200" s="5" t="s">
        <v>101</v>
      </c>
      <c r="C200" s="5">
        <v>0</v>
      </c>
      <c r="D200" s="5">
        <v>0</v>
      </c>
      <c r="E200" s="5">
        <v>0</v>
      </c>
      <c r="F200" s="5">
        <v>0</v>
      </c>
      <c r="G200" s="6">
        <f t="shared" si="3"/>
        <v>0</v>
      </c>
      <c r="H200" s="92"/>
      <c r="I200" s="8"/>
    </row>
    <row r="201" spans="1:9">
      <c r="A201" s="7">
        <v>46222</v>
      </c>
      <c r="B201" s="5" t="s">
        <v>101</v>
      </c>
      <c r="C201" s="5">
        <v>0</v>
      </c>
      <c r="D201" s="5">
        <v>0</v>
      </c>
      <c r="E201" s="5">
        <v>0</v>
      </c>
      <c r="F201" s="5">
        <v>0</v>
      </c>
      <c r="G201" s="6">
        <f t="shared" si="3"/>
        <v>0</v>
      </c>
      <c r="H201" s="93"/>
      <c r="I201" s="8"/>
    </row>
    <row r="202" spans="1:9">
      <c r="A202" s="7">
        <v>46223</v>
      </c>
      <c r="B202" s="5" t="s">
        <v>101</v>
      </c>
      <c r="C202" s="5">
        <v>0</v>
      </c>
      <c r="D202" s="5">
        <v>0</v>
      </c>
      <c r="E202" s="5">
        <v>0</v>
      </c>
      <c r="F202" s="5">
        <v>0</v>
      </c>
      <c r="G202" s="6">
        <f t="shared" si="3"/>
        <v>0</v>
      </c>
      <c r="H202" s="91">
        <f>SUM(G202:G208)</f>
        <v>0</v>
      </c>
      <c r="I202" s="8"/>
    </row>
    <row r="203" spans="1:9">
      <c r="A203" s="7">
        <v>46224</v>
      </c>
      <c r="B203" s="5" t="s">
        <v>101</v>
      </c>
      <c r="C203" s="5">
        <v>0</v>
      </c>
      <c r="D203" s="5">
        <v>0</v>
      </c>
      <c r="E203" s="5">
        <v>0</v>
      </c>
      <c r="F203" s="5">
        <v>0</v>
      </c>
      <c r="G203" s="6">
        <f t="shared" si="3"/>
        <v>0</v>
      </c>
      <c r="H203" s="92"/>
      <c r="I203" s="8"/>
    </row>
    <row r="204" spans="1:9">
      <c r="A204" s="7">
        <v>46225</v>
      </c>
      <c r="B204" s="5" t="s">
        <v>101</v>
      </c>
      <c r="C204" s="5">
        <v>0</v>
      </c>
      <c r="D204" s="5">
        <v>0</v>
      </c>
      <c r="E204" s="5">
        <v>0</v>
      </c>
      <c r="F204" s="5">
        <v>0</v>
      </c>
      <c r="G204" s="6">
        <f t="shared" si="3"/>
        <v>0</v>
      </c>
      <c r="H204" s="92"/>
      <c r="I204" s="8"/>
    </row>
    <row r="205" spans="1:9">
      <c r="A205" s="7">
        <v>46226</v>
      </c>
      <c r="B205" s="5" t="s">
        <v>101</v>
      </c>
      <c r="C205" s="5">
        <v>0</v>
      </c>
      <c r="D205" s="5">
        <v>0</v>
      </c>
      <c r="E205" s="5">
        <v>0</v>
      </c>
      <c r="F205" s="5">
        <v>0</v>
      </c>
      <c r="G205" s="6">
        <f t="shared" si="3"/>
        <v>0</v>
      </c>
      <c r="H205" s="92"/>
      <c r="I205" s="8"/>
    </row>
    <row r="206" spans="1:9">
      <c r="A206" s="7">
        <v>46227</v>
      </c>
      <c r="B206" s="5" t="s">
        <v>101</v>
      </c>
      <c r="C206" s="5">
        <v>0</v>
      </c>
      <c r="D206" s="5">
        <v>0</v>
      </c>
      <c r="E206" s="5">
        <v>0</v>
      </c>
      <c r="F206" s="5">
        <v>0</v>
      </c>
      <c r="G206" s="6">
        <f t="shared" si="3"/>
        <v>0</v>
      </c>
      <c r="H206" s="92"/>
      <c r="I206" s="8"/>
    </row>
    <row r="207" spans="1:9">
      <c r="A207" s="7">
        <v>46228</v>
      </c>
      <c r="B207" s="5" t="s">
        <v>101</v>
      </c>
      <c r="C207" s="5">
        <v>0</v>
      </c>
      <c r="D207" s="5">
        <v>0</v>
      </c>
      <c r="E207" s="5">
        <v>0</v>
      </c>
      <c r="F207" s="5">
        <v>0</v>
      </c>
      <c r="G207" s="6">
        <f t="shared" si="3"/>
        <v>0</v>
      </c>
      <c r="H207" s="92"/>
      <c r="I207" s="8"/>
    </row>
    <row r="208" spans="1:9">
      <c r="A208" s="7">
        <v>46229</v>
      </c>
      <c r="B208" s="5" t="s">
        <v>101</v>
      </c>
      <c r="C208" s="5">
        <v>0</v>
      </c>
      <c r="D208" s="5">
        <v>0</v>
      </c>
      <c r="E208" s="5">
        <v>0</v>
      </c>
      <c r="F208" s="5">
        <v>0</v>
      </c>
      <c r="G208" s="6">
        <f t="shared" si="3"/>
        <v>0</v>
      </c>
      <c r="H208" s="93"/>
      <c r="I208" s="8"/>
    </row>
    <row r="209" spans="1:9">
      <c r="A209" s="7">
        <v>46230</v>
      </c>
      <c r="B209" s="5" t="s">
        <v>101</v>
      </c>
      <c r="C209" s="5">
        <v>0</v>
      </c>
      <c r="D209" s="5">
        <v>0</v>
      </c>
      <c r="E209" s="5">
        <v>0</v>
      </c>
      <c r="F209" s="5">
        <v>0</v>
      </c>
      <c r="G209" s="6">
        <f t="shared" si="3"/>
        <v>0</v>
      </c>
      <c r="H209" s="91">
        <f>SUM(G209:G215)</f>
        <v>0</v>
      </c>
      <c r="I209" s="8"/>
    </row>
    <row r="210" spans="1:9">
      <c r="A210" s="7">
        <v>46231</v>
      </c>
      <c r="B210" s="5" t="s">
        <v>101</v>
      </c>
      <c r="C210" s="5">
        <v>0</v>
      </c>
      <c r="D210" s="5">
        <v>0</v>
      </c>
      <c r="E210" s="5">
        <v>0</v>
      </c>
      <c r="F210" s="5">
        <v>0</v>
      </c>
      <c r="G210" s="6">
        <f t="shared" si="3"/>
        <v>0</v>
      </c>
      <c r="H210" s="92"/>
      <c r="I210" s="8"/>
    </row>
    <row r="211" spans="1:9">
      <c r="A211" s="7">
        <v>46232</v>
      </c>
      <c r="B211" s="5" t="s">
        <v>101</v>
      </c>
      <c r="C211" s="5">
        <v>0</v>
      </c>
      <c r="D211" s="5">
        <v>0</v>
      </c>
      <c r="E211" s="5">
        <v>0</v>
      </c>
      <c r="F211" s="5">
        <v>0</v>
      </c>
      <c r="G211" s="6">
        <f t="shared" si="3"/>
        <v>0</v>
      </c>
      <c r="H211" s="92"/>
      <c r="I211" s="8"/>
    </row>
    <row r="212" spans="1:9">
      <c r="A212" s="7">
        <v>46233</v>
      </c>
      <c r="B212" s="5" t="s">
        <v>101</v>
      </c>
      <c r="C212" s="5">
        <v>0</v>
      </c>
      <c r="D212" s="5">
        <v>0</v>
      </c>
      <c r="E212" s="5">
        <v>0</v>
      </c>
      <c r="F212" s="5">
        <v>0</v>
      </c>
      <c r="G212" s="6">
        <f t="shared" si="3"/>
        <v>0</v>
      </c>
      <c r="H212" s="92"/>
      <c r="I212" s="8"/>
    </row>
    <row r="213" spans="1:9">
      <c r="A213" s="7">
        <v>46234</v>
      </c>
      <c r="B213" s="5" t="s">
        <v>101</v>
      </c>
      <c r="C213" s="5">
        <v>0</v>
      </c>
      <c r="D213" s="5">
        <v>0</v>
      </c>
      <c r="E213" s="5">
        <v>0</v>
      </c>
      <c r="F213" s="5">
        <v>0</v>
      </c>
      <c r="G213" s="6">
        <f t="shared" si="3"/>
        <v>0</v>
      </c>
      <c r="H213" s="92"/>
      <c r="I213" s="8"/>
    </row>
    <row r="214" spans="1:9">
      <c r="A214" s="7">
        <v>46235</v>
      </c>
      <c r="B214" s="5" t="s">
        <v>101</v>
      </c>
      <c r="C214" s="5">
        <v>0</v>
      </c>
      <c r="D214" s="5">
        <v>0</v>
      </c>
      <c r="E214" s="5">
        <v>0</v>
      </c>
      <c r="F214" s="5">
        <v>0</v>
      </c>
      <c r="G214" s="6">
        <f t="shared" si="3"/>
        <v>0</v>
      </c>
      <c r="H214" s="92"/>
      <c r="I214" s="8"/>
    </row>
    <row r="215" spans="1:9">
      <c r="A215" s="7">
        <v>46236</v>
      </c>
      <c r="B215" s="5" t="s">
        <v>101</v>
      </c>
      <c r="C215" s="5">
        <v>0</v>
      </c>
      <c r="D215" s="5">
        <v>0</v>
      </c>
      <c r="E215" s="5">
        <v>0</v>
      </c>
      <c r="F215" s="5">
        <v>0</v>
      </c>
      <c r="G215" s="6">
        <f t="shared" si="3"/>
        <v>0</v>
      </c>
      <c r="H215" s="93"/>
      <c r="I215" s="8"/>
    </row>
    <row r="216" spans="1:9">
      <c r="A216" s="7">
        <v>46237</v>
      </c>
      <c r="B216" s="5" t="s">
        <v>101</v>
      </c>
      <c r="C216" s="5">
        <v>0</v>
      </c>
      <c r="D216" s="5">
        <v>0</v>
      </c>
      <c r="E216" s="5">
        <v>0</v>
      </c>
      <c r="F216" s="5">
        <v>0</v>
      </c>
      <c r="G216" s="6">
        <f t="shared" si="3"/>
        <v>0</v>
      </c>
      <c r="H216" s="91">
        <f>SUM(G216:G222)</f>
        <v>0</v>
      </c>
      <c r="I216" s="8"/>
    </row>
    <row r="217" spans="1:9">
      <c r="A217" s="7">
        <v>46238</v>
      </c>
      <c r="B217" s="5" t="s">
        <v>101</v>
      </c>
      <c r="C217" s="5">
        <v>0</v>
      </c>
      <c r="D217" s="5">
        <v>0</v>
      </c>
      <c r="E217" s="5">
        <v>0</v>
      </c>
      <c r="F217" s="5">
        <v>0</v>
      </c>
      <c r="G217" s="6">
        <f t="shared" si="3"/>
        <v>0</v>
      </c>
      <c r="H217" s="92"/>
      <c r="I217" s="8"/>
    </row>
    <row r="218" spans="1:9">
      <c r="A218" s="7">
        <v>46239</v>
      </c>
      <c r="B218" s="5" t="s">
        <v>101</v>
      </c>
      <c r="C218" s="5">
        <v>0</v>
      </c>
      <c r="D218" s="5">
        <v>0</v>
      </c>
      <c r="E218" s="5">
        <v>0</v>
      </c>
      <c r="F218" s="5">
        <v>0</v>
      </c>
      <c r="G218" s="6">
        <f t="shared" si="3"/>
        <v>0</v>
      </c>
      <c r="H218" s="92"/>
      <c r="I218" s="8"/>
    </row>
    <row r="219" spans="1:9">
      <c r="A219" s="7">
        <v>46240</v>
      </c>
      <c r="B219" s="5" t="s">
        <v>101</v>
      </c>
      <c r="C219" s="5">
        <v>0</v>
      </c>
      <c r="D219" s="5">
        <v>0</v>
      </c>
      <c r="E219" s="5">
        <v>0</v>
      </c>
      <c r="F219" s="5">
        <v>0</v>
      </c>
      <c r="G219" s="6">
        <f t="shared" si="3"/>
        <v>0</v>
      </c>
      <c r="H219" s="92"/>
      <c r="I219" s="8"/>
    </row>
    <row r="220" spans="1:9">
      <c r="A220" s="7">
        <v>46241</v>
      </c>
      <c r="B220" s="5" t="s">
        <v>101</v>
      </c>
      <c r="C220" s="5">
        <v>0</v>
      </c>
      <c r="D220" s="5">
        <v>0</v>
      </c>
      <c r="E220" s="5">
        <v>0</v>
      </c>
      <c r="F220" s="5">
        <v>0</v>
      </c>
      <c r="G220" s="6">
        <f t="shared" si="3"/>
        <v>0</v>
      </c>
      <c r="H220" s="92"/>
      <c r="I220" s="8"/>
    </row>
    <row r="221" spans="1:9">
      <c r="A221" s="7">
        <v>46242</v>
      </c>
      <c r="B221" s="5" t="s">
        <v>101</v>
      </c>
      <c r="C221" s="5">
        <v>0</v>
      </c>
      <c r="D221" s="5">
        <v>0</v>
      </c>
      <c r="E221" s="5">
        <v>0</v>
      </c>
      <c r="F221" s="5">
        <v>0</v>
      </c>
      <c r="G221" s="6">
        <f t="shared" si="3"/>
        <v>0</v>
      </c>
      <c r="H221" s="92"/>
      <c r="I221" s="8"/>
    </row>
    <row r="222" spans="1:9">
      <c r="A222" s="7">
        <v>46243</v>
      </c>
      <c r="B222" s="5" t="s">
        <v>101</v>
      </c>
      <c r="C222" s="5">
        <v>0</v>
      </c>
      <c r="D222" s="5">
        <v>0</v>
      </c>
      <c r="E222" s="5">
        <v>0</v>
      </c>
      <c r="F222" s="5">
        <v>0</v>
      </c>
      <c r="G222" s="6">
        <f t="shared" si="3"/>
        <v>0</v>
      </c>
      <c r="H222" s="93"/>
      <c r="I222" s="8"/>
    </row>
    <row r="223" spans="1:9">
      <c r="A223" s="7">
        <v>46244</v>
      </c>
      <c r="B223" s="5" t="s">
        <v>101</v>
      </c>
      <c r="C223" s="5">
        <v>0</v>
      </c>
      <c r="D223" s="5">
        <v>0</v>
      </c>
      <c r="E223" s="5">
        <v>0</v>
      </c>
      <c r="F223" s="5">
        <v>0</v>
      </c>
      <c r="G223" s="6">
        <f t="shared" si="3"/>
        <v>0</v>
      </c>
      <c r="H223" s="91">
        <f>SUM(G223:G229)</f>
        <v>0</v>
      </c>
      <c r="I223" s="8"/>
    </row>
    <row r="224" spans="1:9">
      <c r="A224" s="7">
        <v>46245</v>
      </c>
      <c r="B224" s="5" t="s">
        <v>101</v>
      </c>
      <c r="C224" s="5">
        <v>0</v>
      </c>
      <c r="D224" s="5">
        <v>0</v>
      </c>
      <c r="E224" s="5">
        <v>0</v>
      </c>
      <c r="F224" s="5">
        <v>0</v>
      </c>
      <c r="G224" s="6">
        <f t="shared" si="3"/>
        <v>0</v>
      </c>
      <c r="H224" s="92"/>
      <c r="I224" s="8"/>
    </row>
    <row r="225" spans="1:9">
      <c r="A225" s="7">
        <v>46246</v>
      </c>
      <c r="B225" s="5" t="s">
        <v>101</v>
      </c>
      <c r="C225" s="5">
        <v>0</v>
      </c>
      <c r="D225" s="5">
        <v>0</v>
      </c>
      <c r="E225" s="5">
        <v>0</v>
      </c>
      <c r="F225" s="5">
        <v>0</v>
      </c>
      <c r="G225" s="6">
        <f t="shared" si="3"/>
        <v>0</v>
      </c>
      <c r="H225" s="92"/>
      <c r="I225" s="8"/>
    </row>
    <row r="226" spans="1:9">
      <c r="A226" s="7">
        <v>46247</v>
      </c>
      <c r="B226" s="5" t="s">
        <v>101</v>
      </c>
      <c r="C226" s="5">
        <v>0</v>
      </c>
      <c r="D226" s="5">
        <v>0</v>
      </c>
      <c r="E226" s="5">
        <v>0</v>
      </c>
      <c r="F226" s="5">
        <v>0</v>
      </c>
      <c r="G226" s="6">
        <f t="shared" si="3"/>
        <v>0</v>
      </c>
      <c r="H226" s="92"/>
      <c r="I226" s="8"/>
    </row>
    <row r="227" spans="1:9">
      <c r="A227" s="7">
        <v>46248</v>
      </c>
      <c r="B227" s="5" t="s">
        <v>101</v>
      </c>
      <c r="C227" s="5">
        <v>0</v>
      </c>
      <c r="D227" s="5">
        <v>0</v>
      </c>
      <c r="E227" s="5">
        <v>0</v>
      </c>
      <c r="F227" s="5">
        <v>0</v>
      </c>
      <c r="G227" s="6">
        <f t="shared" si="3"/>
        <v>0</v>
      </c>
      <c r="H227" s="92"/>
      <c r="I227" s="8"/>
    </row>
    <row r="228" spans="1:9">
      <c r="A228" s="7">
        <v>46249</v>
      </c>
      <c r="B228" s="5" t="s">
        <v>101</v>
      </c>
      <c r="C228" s="5">
        <v>0</v>
      </c>
      <c r="D228" s="5">
        <v>0</v>
      </c>
      <c r="E228" s="5">
        <v>0</v>
      </c>
      <c r="F228" s="5">
        <v>0</v>
      </c>
      <c r="G228" s="6">
        <f t="shared" si="3"/>
        <v>0</v>
      </c>
      <c r="H228" s="92"/>
      <c r="I228" s="8"/>
    </row>
    <row r="229" spans="1:9">
      <c r="A229" s="7">
        <v>46250</v>
      </c>
      <c r="B229" s="5" t="s">
        <v>101</v>
      </c>
      <c r="C229" s="5">
        <v>0</v>
      </c>
      <c r="D229" s="5">
        <v>0</v>
      </c>
      <c r="E229" s="5">
        <v>0</v>
      </c>
      <c r="F229" s="5">
        <v>0</v>
      </c>
      <c r="G229" s="6">
        <f t="shared" si="3"/>
        <v>0</v>
      </c>
      <c r="H229" s="93"/>
      <c r="I229" s="8"/>
    </row>
    <row r="230" spans="1:9">
      <c r="A230" s="7">
        <v>46251</v>
      </c>
      <c r="B230" s="5" t="s">
        <v>101</v>
      </c>
      <c r="C230" s="5">
        <v>0</v>
      </c>
      <c r="D230" s="5">
        <v>0</v>
      </c>
      <c r="E230" s="5">
        <v>0</v>
      </c>
      <c r="F230" s="5">
        <v>0</v>
      </c>
      <c r="G230" s="6">
        <f t="shared" si="3"/>
        <v>0</v>
      </c>
      <c r="H230" s="91">
        <f>SUM(G230:G236)</f>
        <v>0</v>
      </c>
      <c r="I230" s="8"/>
    </row>
    <row r="231" spans="1:9">
      <c r="A231" s="7">
        <v>46252</v>
      </c>
      <c r="B231" s="5" t="s">
        <v>101</v>
      </c>
      <c r="C231" s="5">
        <v>0</v>
      </c>
      <c r="D231" s="5">
        <v>0</v>
      </c>
      <c r="E231" s="5">
        <v>0</v>
      </c>
      <c r="F231" s="5">
        <v>0</v>
      </c>
      <c r="G231" s="6">
        <f t="shared" si="3"/>
        <v>0</v>
      </c>
      <c r="H231" s="92"/>
      <c r="I231" s="8"/>
    </row>
    <row r="232" spans="1:9">
      <c r="A232" s="7">
        <v>46253</v>
      </c>
      <c r="B232" s="5" t="s">
        <v>101</v>
      </c>
      <c r="C232" s="5">
        <v>0</v>
      </c>
      <c r="D232" s="5">
        <v>0</v>
      </c>
      <c r="E232" s="5">
        <v>0</v>
      </c>
      <c r="F232" s="5">
        <v>0</v>
      </c>
      <c r="G232" s="6">
        <f t="shared" si="3"/>
        <v>0</v>
      </c>
      <c r="H232" s="92"/>
      <c r="I232" s="8"/>
    </row>
    <row r="233" spans="1:9">
      <c r="A233" s="7">
        <v>46254</v>
      </c>
      <c r="B233" s="5" t="s">
        <v>101</v>
      </c>
      <c r="C233" s="5">
        <v>0</v>
      </c>
      <c r="D233" s="5">
        <v>0</v>
      </c>
      <c r="E233" s="5">
        <v>0</v>
      </c>
      <c r="F233" s="5">
        <v>0</v>
      </c>
      <c r="G233" s="6">
        <f t="shared" si="3"/>
        <v>0</v>
      </c>
      <c r="H233" s="92"/>
      <c r="I233" s="8"/>
    </row>
    <row r="234" spans="1:9">
      <c r="A234" s="7">
        <v>46255</v>
      </c>
      <c r="B234" s="5" t="s">
        <v>101</v>
      </c>
      <c r="C234" s="5">
        <v>0</v>
      </c>
      <c r="D234" s="5">
        <v>0</v>
      </c>
      <c r="E234" s="5">
        <v>0</v>
      </c>
      <c r="F234" s="5">
        <v>0</v>
      </c>
      <c r="G234" s="6">
        <f t="shared" si="3"/>
        <v>0</v>
      </c>
      <c r="H234" s="92"/>
      <c r="I234" s="8"/>
    </row>
    <row r="235" spans="1:9">
      <c r="A235" s="7">
        <v>46256</v>
      </c>
      <c r="B235" s="5" t="s">
        <v>101</v>
      </c>
      <c r="C235" s="5">
        <v>0</v>
      </c>
      <c r="D235" s="5">
        <v>0</v>
      </c>
      <c r="E235" s="5">
        <v>0</v>
      </c>
      <c r="F235" s="5">
        <v>0</v>
      </c>
      <c r="G235" s="6">
        <f t="shared" si="3"/>
        <v>0</v>
      </c>
      <c r="H235" s="92"/>
      <c r="I235" s="8"/>
    </row>
    <row r="236" spans="1:9">
      <c r="A236" s="7">
        <v>46257</v>
      </c>
      <c r="B236" s="5" t="s">
        <v>101</v>
      </c>
      <c r="C236" s="5">
        <v>0</v>
      </c>
      <c r="D236" s="5">
        <v>0</v>
      </c>
      <c r="E236" s="5">
        <v>0</v>
      </c>
      <c r="F236" s="5">
        <v>0</v>
      </c>
      <c r="G236" s="6">
        <f t="shared" si="3"/>
        <v>0</v>
      </c>
      <c r="H236" s="93"/>
      <c r="I236" s="8"/>
    </row>
    <row r="237" spans="1:9">
      <c r="A237" s="7">
        <v>46258</v>
      </c>
      <c r="B237" s="5" t="s">
        <v>101</v>
      </c>
      <c r="C237" s="5">
        <v>0</v>
      </c>
      <c r="D237" s="5">
        <v>0</v>
      </c>
      <c r="E237" s="5">
        <v>0</v>
      </c>
      <c r="F237" s="5">
        <v>0</v>
      </c>
      <c r="G237" s="6">
        <f t="shared" si="3"/>
        <v>0</v>
      </c>
      <c r="H237" s="91">
        <f>SUM(G237:G243)</f>
        <v>0</v>
      </c>
      <c r="I237" s="8"/>
    </row>
    <row r="238" spans="1:9">
      <c r="A238" s="7">
        <v>46259</v>
      </c>
      <c r="B238" s="5" t="s">
        <v>101</v>
      </c>
      <c r="C238" s="5">
        <v>0</v>
      </c>
      <c r="D238" s="5">
        <v>0</v>
      </c>
      <c r="E238" s="5">
        <v>0</v>
      </c>
      <c r="F238" s="5">
        <v>0</v>
      </c>
      <c r="G238" s="6">
        <f t="shared" si="3"/>
        <v>0</v>
      </c>
      <c r="H238" s="92"/>
      <c r="I238" s="8"/>
    </row>
    <row r="239" spans="1:9">
      <c r="A239" s="7">
        <v>46260</v>
      </c>
      <c r="B239" s="5" t="s">
        <v>101</v>
      </c>
      <c r="C239" s="5">
        <v>0</v>
      </c>
      <c r="D239" s="5">
        <v>0</v>
      </c>
      <c r="E239" s="5">
        <v>0</v>
      </c>
      <c r="F239" s="5">
        <v>0</v>
      </c>
      <c r="G239" s="6">
        <f t="shared" si="3"/>
        <v>0</v>
      </c>
      <c r="H239" s="92"/>
      <c r="I239" s="8"/>
    </row>
    <row r="240" spans="1:9">
      <c r="A240" s="7">
        <v>46261</v>
      </c>
      <c r="B240" s="5" t="s">
        <v>101</v>
      </c>
      <c r="C240" s="5">
        <v>0</v>
      </c>
      <c r="D240" s="5">
        <v>0</v>
      </c>
      <c r="E240" s="5">
        <v>0</v>
      </c>
      <c r="F240" s="5">
        <v>0</v>
      </c>
      <c r="G240" s="6">
        <f t="shared" si="3"/>
        <v>0</v>
      </c>
      <c r="H240" s="92"/>
      <c r="I240" s="8"/>
    </row>
    <row r="241" spans="1:9">
      <c r="A241" s="7">
        <v>46262</v>
      </c>
      <c r="B241" s="5" t="s">
        <v>101</v>
      </c>
      <c r="C241" s="5">
        <v>0</v>
      </c>
      <c r="D241" s="5">
        <v>0</v>
      </c>
      <c r="E241" s="5">
        <v>0</v>
      </c>
      <c r="F241" s="5">
        <v>0</v>
      </c>
      <c r="G241" s="6">
        <f t="shared" si="3"/>
        <v>0</v>
      </c>
      <c r="H241" s="92"/>
      <c r="I241" s="8"/>
    </row>
    <row r="242" spans="1:9">
      <c r="A242" s="7">
        <v>46263</v>
      </c>
      <c r="B242" s="5" t="s">
        <v>101</v>
      </c>
      <c r="C242" s="5">
        <v>0</v>
      </c>
      <c r="D242" s="5">
        <v>0</v>
      </c>
      <c r="E242" s="5">
        <v>0</v>
      </c>
      <c r="F242" s="5">
        <v>0</v>
      </c>
      <c r="G242" s="6">
        <f t="shared" si="3"/>
        <v>0</v>
      </c>
      <c r="H242" s="92"/>
      <c r="I242" s="8"/>
    </row>
    <row r="243" spans="1:9">
      <c r="A243" s="7">
        <v>46264</v>
      </c>
      <c r="B243" s="5" t="s">
        <v>101</v>
      </c>
      <c r="C243" s="5">
        <v>0</v>
      </c>
      <c r="D243" s="5">
        <v>0</v>
      </c>
      <c r="E243" s="5">
        <v>0</v>
      </c>
      <c r="F243" s="5">
        <v>0</v>
      </c>
      <c r="G243" s="6">
        <f t="shared" si="3"/>
        <v>0</v>
      </c>
      <c r="H243" s="93"/>
      <c r="I243" s="8"/>
    </row>
    <row r="244" spans="1:9">
      <c r="A244" s="7">
        <v>46265</v>
      </c>
      <c r="B244" s="5" t="s">
        <v>101</v>
      </c>
      <c r="C244" s="5">
        <v>0</v>
      </c>
      <c r="D244" s="5">
        <v>0</v>
      </c>
      <c r="E244" s="5">
        <v>0</v>
      </c>
      <c r="F244" s="5">
        <v>0</v>
      </c>
      <c r="G244" s="6">
        <f t="shared" si="3"/>
        <v>0</v>
      </c>
      <c r="H244" s="91">
        <f>SUM(G244:G250)</f>
        <v>0</v>
      </c>
      <c r="I244" s="8"/>
    </row>
    <row r="245" spans="1:9">
      <c r="A245" s="7">
        <v>46266</v>
      </c>
      <c r="B245" s="5" t="s">
        <v>101</v>
      </c>
      <c r="C245" s="5">
        <v>0</v>
      </c>
      <c r="D245" s="5">
        <v>0</v>
      </c>
      <c r="E245" s="5">
        <v>0</v>
      </c>
      <c r="F245" s="5">
        <v>0</v>
      </c>
      <c r="G245" s="6">
        <f t="shared" si="3"/>
        <v>0</v>
      </c>
      <c r="H245" s="92"/>
      <c r="I245" s="8"/>
    </row>
    <row r="246" spans="1:9">
      <c r="A246" s="7">
        <v>46267</v>
      </c>
      <c r="B246" s="5" t="s">
        <v>101</v>
      </c>
      <c r="C246" s="5">
        <v>0</v>
      </c>
      <c r="D246" s="5">
        <v>0</v>
      </c>
      <c r="E246" s="5">
        <v>0</v>
      </c>
      <c r="F246" s="5">
        <v>0</v>
      </c>
      <c r="G246" s="6">
        <f t="shared" si="3"/>
        <v>0</v>
      </c>
      <c r="H246" s="92"/>
      <c r="I246" s="8"/>
    </row>
    <row r="247" spans="1:9">
      <c r="A247" s="7">
        <v>46268</v>
      </c>
      <c r="B247" s="5" t="s">
        <v>101</v>
      </c>
      <c r="C247" s="5">
        <v>0</v>
      </c>
      <c r="D247" s="5">
        <v>0</v>
      </c>
      <c r="E247" s="5">
        <v>0</v>
      </c>
      <c r="F247" s="5">
        <v>0</v>
      </c>
      <c r="G247" s="6">
        <f t="shared" si="3"/>
        <v>0</v>
      </c>
      <c r="H247" s="92"/>
      <c r="I247" s="8"/>
    </row>
    <row r="248" spans="1:9">
      <c r="A248" s="7">
        <v>46269</v>
      </c>
      <c r="B248" s="5" t="s">
        <v>101</v>
      </c>
      <c r="C248" s="5">
        <v>0</v>
      </c>
      <c r="D248" s="5">
        <v>0</v>
      </c>
      <c r="E248" s="5">
        <v>0</v>
      </c>
      <c r="F248" s="5">
        <v>0</v>
      </c>
      <c r="G248" s="6">
        <f t="shared" si="3"/>
        <v>0</v>
      </c>
      <c r="H248" s="92"/>
      <c r="I248" s="8"/>
    </row>
    <row r="249" spans="1:9">
      <c r="A249" s="7">
        <v>46270</v>
      </c>
      <c r="B249" s="5" t="s">
        <v>101</v>
      </c>
      <c r="C249" s="5">
        <v>0</v>
      </c>
      <c r="D249" s="5">
        <v>0</v>
      </c>
      <c r="E249" s="5">
        <v>0</v>
      </c>
      <c r="F249" s="5">
        <v>0</v>
      </c>
      <c r="G249" s="6">
        <f t="shared" si="3"/>
        <v>0</v>
      </c>
      <c r="H249" s="92"/>
      <c r="I249" s="8"/>
    </row>
    <row r="250" spans="1:9">
      <c r="A250" s="7">
        <v>46271</v>
      </c>
      <c r="B250" s="5" t="s">
        <v>101</v>
      </c>
      <c r="C250" s="5">
        <v>0</v>
      </c>
      <c r="D250" s="5">
        <v>0</v>
      </c>
      <c r="E250" s="5">
        <v>0</v>
      </c>
      <c r="F250" s="5">
        <v>0</v>
      </c>
      <c r="G250" s="6">
        <f t="shared" si="3"/>
        <v>0</v>
      </c>
      <c r="H250" s="93"/>
      <c r="I250" s="8"/>
    </row>
    <row r="251" spans="1:9">
      <c r="A251" s="7">
        <v>46272</v>
      </c>
      <c r="B251" s="5" t="s">
        <v>101</v>
      </c>
      <c r="C251" s="5">
        <v>0</v>
      </c>
      <c r="D251" s="5">
        <v>0</v>
      </c>
      <c r="E251" s="5">
        <v>0</v>
      </c>
      <c r="F251" s="5">
        <v>0</v>
      </c>
      <c r="G251" s="6">
        <f t="shared" si="3"/>
        <v>0</v>
      </c>
      <c r="H251" s="91">
        <f>SUM(G251:G257)</f>
        <v>0</v>
      </c>
      <c r="I251" s="8"/>
    </row>
    <row r="252" spans="1:9">
      <c r="A252" s="7">
        <v>46273</v>
      </c>
      <c r="B252" s="5" t="s">
        <v>101</v>
      </c>
      <c r="C252" s="5">
        <v>0</v>
      </c>
      <c r="D252" s="5">
        <v>0</v>
      </c>
      <c r="E252" s="5">
        <v>0</v>
      </c>
      <c r="F252" s="5">
        <v>0</v>
      </c>
      <c r="G252" s="6">
        <f t="shared" si="3"/>
        <v>0</v>
      </c>
      <c r="H252" s="92"/>
      <c r="I252" s="8"/>
    </row>
    <row r="253" spans="1:9">
      <c r="A253" s="7">
        <v>46274</v>
      </c>
      <c r="B253" s="5" t="s">
        <v>101</v>
      </c>
      <c r="C253" s="5">
        <v>0</v>
      </c>
      <c r="D253" s="5">
        <v>0</v>
      </c>
      <c r="E253" s="5">
        <v>0</v>
      </c>
      <c r="F253" s="5">
        <v>0</v>
      </c>
      <c r="G253" s="6">
        <f t="shared" si="3"/>
        <v>0</v>
      </c>
      <c r="H253" s="92"/>
      <c r="I253" s="8"/>
    </row>
    <row r="254" spans="1:9">
      <c r="A254" s="7">
        <v>46275</v>
      </c>
      <c r="B254" s="5" t="s">
        <v>101</v>
      </c>
      <c r="C254" s="5">
        <v>0</v>
      </c>
      <c r="D254" s="5">
        <v>0</v>
      </c>
      <c r="E254" s="5">
        <v>0</v>
      </c>
      <c r="F254" s="5">
        <v>0</v>
      </c>
      <c r="G254" s="6">
        <f t="shared" si="3"/>
        <v>0</v>
      </c>
      <c r="H254" s="92"/>
      <c r="I254" s="8"/>
    </row>
    <row r="255" spans="1:9">
      <c r="A255" s="7">
        <v>46276</v>
      </c>
      <c r="B255" s="5" t="s">
        <v>101</v>
      </c>
      <c r="C255" s="5">
        <v>0</v>
      </c>
      <c r="D255" s="5">
        <v>0</v>
      </c>
      <c r="E255" s="5">
        <v>0</v>
      </c>
      <c r="F255" s="5">
        <v>0</v>
      </c>
      <c r="G255" s="6">
        <f t="shared" si="3"/>
        <v>0</v>
      </c>
      <c r="H255" s="92"/>
      <c r="I255" s="8"/>
    </row>
    <row r="256" spans="1:9">
      <c r="A256" s="7">
        <v>46277</v>
      </c>
      <c r="B256" s="5" t="s">
        <v>101</v>
      </c>
      <c r="C256" s="5">
        <v>0</v>
      </c>
      <c r="D256" s="5">
        <v>0</v>
      </c>
      <c r="E256" s="5">
        <v>0</v>
      </c>
      <c r="F256" s="5">
        <v>0</v>
      </c>
      <c r="G256" s="6">
        <f t="shared" si="3"/>
        <v>0</v>
      </c>
      <c r="H256" s="92"/>
      <c r="I256" s="8"/>
    </row>
    <row r="257" spans="1:9">
      <c r="A257" s="7">
        <v>46278</v>
      </c>
      <c r="B257" s="5" t="s">
        <v>101</v>
      </c>
      <c r="C257" s="5">
        <v>0</v>
      </c>
      <c r="D257" s="5">
        <v>0</v>
      </c>
      <c r="E257" s="5">
        <v>0</v>
      </c>
      <c r="F257" s="5">
        <v>0</v>
      </c>
      <c r="G257" s="6">
        <f t="shared" si="3"/>
        <v>0</v>
      </c>
      <c r="H257" s="93"/>
      <c r="I257" s="8"/>
    </row>
    <row r="258" spans="1:9">
      <c r="A258" s="7">
        <v>46279</v>
      </c>
      <c r="B258" s="5" t="s">
        <v>101</v>
      </c>
      <c r="C258" s="5">
        <v>0</v>
      </c>
      <c r="D258" s="5">
        <v>0</v>
      </c>
      <c r="E258" s="5">
        <v>0</v>
      </c>
      <c r="F258" s="5">
        <v>0</v>
      </c>
      <c r="G258" s="6">
        <f t="shared" si="3"/>
        <v>0</v>
      </c>
      <c r="H258" s="91">
        <f>SUM(G258:G264)</f>
        <v>0</v>
      </c>
      <c r="I258" s="8"/>
    </row>
    <row r="259" spans="1:9">
      <c r="A259" s="7">
        <v>46280</v>
      </c>
      <c r="B259" s="5" t="s">
        <v>101</v>
      </c>
      <c r="C259" s="5">
        <v>0</v>
      </c>
      <c r="D259" s="5">
        <v>0</v>
      </c>
      <c r="E259" s="5">
        <v>0</v>
      </c>
      <c r="F259" s="5">
        <v>0</v>
      </c>
      <c r="G259" s="6">
        <f t="shared" ref="G259:G322" si="4">SUM(F259,E259,C259-D259)</f>
        <v>0</v>
      </c>
      <c r="H259" s="92"/>
      <c r="I259" s="8"/>
    </row>
    <row r="260" spans="1:9">
      <c r="A260" s="7">
        <v>46281</v>
      </c>
      <c r="B260" s="5" t="s">
        <v>101</v>
      </c>
      <c r="C260" s="5">
        <v>0</v>
      </c>
      <c r="D260" s="5">
        <v>0</v>
      </c>
      <c r="E260" s="5">
        <v>0</v>
      </c>
      <c r="F260" s="5">
        <v>0</v>
      </c>
      <c r="G260" s="6">
        <f t="shared" si="4"/>
        <v>0</v>
      </c>
      <c r="H260" s="92"/>
      <c r="I260" s="8"/>
    </row>
    <row r="261" spans="1:9">
      <c r="A261" s="7">
        <v>46282</v>
      </c>
      <c r="B261" s="5" t="s">
        <v>101</v>
      </c>
      <c r="C261" s="5">
        <v>0</v>
      </c>
      <c r="D261" s="5">
        <v>0</v>
      </c>
      <c r="E261" s="5">
        <v>0</v>
      </c>
      <c r="F261" s="5">
        <v>0</v>
      </c>
      <c r="G261" s="6">
        <f t="shared" si="4"/>
        <v>0</v>
      </c>
      <c r="H261" s="92"/>
      <c r="I261" s="8"/>
    </row>
    <row r="262" spans="1:9">
      <c r="A262" s="7">
        <v>46283</v>
      </c>
      <c r="B262" s="5" t="s">
        <v>101</v>
      </c>
      <c r="C262" s="5">
        <v>0</v>
      </c>
      <c r="D262" s="5">
        <v>0</v>
      </c>
      <c r="E262" s="5">
        <v>0</v>
      </c>
      <c r="F262" s="5">
        <v>0</v>
      </c>
      <c r="G262" s="6">
        <f t="shared" si="4"/>
        <v>0</v>
      </c>
      <c r="H262" s="92"/>
      <c r="I262" s="8"/>
    </row>
    <row r="263" spans="1:9">
      <c r="A263" s="7">
        <v>46284</v>
      </c>
      <c r="B263" s="5" t="s">
        <v>101</v>
      </c>
      <c r="C263" s="5">
        <v>0</v>
      </c>
      <c r="D263" s="5">
        <v>0</v>
      </c>
      <c r="E263" s="5">
        <v>0</v>
      </c>
      <c r="F263" s="5">
        <v>0</v>
      </c>
      <c r="G263" s="6">
        <f t="shared" si="4"/>
        <v>0</v>
      </c>
      <c r="H263" s="92"/>
      <c r="I263" s="8"/>
    </row>
    <row r="264" spans="1:9">
      <c r="A264" s="7">
        <v>46285</v>
      </c>
      <c r="B264" s="5" t="s">
        <v>101</v>
      </c>
      <c r="C264" s="5">
        <v>0</v>
      </c>
      <c r="D264" s="5">
        <v>0</v>
      </c>
      <c r="E264" s="5">
        <v>0</v>
      </c>
      <c r="F264" s="5">
        <v>0</v>
      </c>
      <c r="G264" s="6">
        <f t="shared" si="4"/>
        <v>0</v>
      </c>
      <c r="H264" s="93"/>
      <c r="I264" s="8"/>
    </row>
    <row r="265" spans="1:9">
      <c r="A265" s="7">
        <v>46286</v>
      </c>
      <c r="B265" s="5" t="s">
        <v>101</v>
      </c>
      <c r="C265" s="5">
        <v>0</v>
      </c>
      <c r="D265" s="5">
        <v>0</v>
      </c>
      <c r="E265" s="5">
        <v>0</v>
      </c>
      <c r="F265" s="5">
        <v>0</v>
      </c>
      <c r="G265" s="6">
        <f t="shared" si="4"/>
        <v>0</v>
      </c>
      <c r="H265" s="91">
        <f>SUM(G265:G271)</f>
        <v>0</v>
      </c>
      <c r="I265" s="8"/>
    </row>
    <row r="266" spans="1:9">
      <c r="A266" s="7">
        <v>46287</v>
      </c>
      <c r="B266" s="5" t="s">
        <v>101</v>
      </c>
      <c r="C266" s="5">
        <v>0</v>
      </c>
      <c r="D266" s="5">
        <v>0</v>
      </c>
      <c r="E266" s="5">
        <v>0</v>
      </c>
      <c r="F266" s="5">
        <v>0</v>
      </c>
      <c r="G266" s="6">
        <f t="shared" si="4"/>
        <v>0</v>
      </c>
      <c r="H266" s="92"/>
      <c r="I266" s="8"/>
    </row>
    <row r="267" spans="1:9">
      <c r="A267" s="7">
        <v>46288</v>
      </c>
      <c r="B267" s="5" t="s">
        <v>101</v>
      </c>
      <c r="C267" s="5">
        <v>0</v>
      </c>
      <c r="D267" s="5">
        <v>0</v>
      </c>
      <c r="E267" s="5">
        <v>0</v>
      </c>
      <c r="F267" s="5">
        <v>0</v>
      </c>
      <c r="G267" s="6">
        <f t="shared" si="4"/>
        <v>0</v>
      </c>
      <c r="H267" s="92"/>
      <c r="I267" s="8"/>
    </row>
    <row r="268" spans="1:9">
      <c r="A268" s="7">
        <v>46289</v>
      </c>
      <c r="B268" s="5" t="s">
        <v>101</v>
      </c>
      <c r="C268" s="5">
        <v>0</v>
      </c>
      <c r="D268" s="5">
        <v>0</v>
      </c>
      <c r="E268" s="5">
        <v>0</v>
      </c>
      <c r="F268" s="5">
        <v>0</v>
      </c>
      <c r="G268" s="6">
        <f t="shared" si="4"/>
        <v>0</v>
      </c>
      <c r="H268" s="92"/>
      <c r="I268" s="8"/>
    </row>
    <row r="269" spans="1:9">
      <c r="A269" s="7">
        <v>46290</v>
      </c>
      <c r="B269" s="5" t="s">
        <v>101</v>
      </c>
      <c r="C269" s="5">
        <v>0</v>
      </c>
      <c r="D269" s="5">
        <v>0</v>
      </c>
      <c r="E269" s="5">
        <v>0</v>
      </c>
      <c r="F269" s="5">
        <v>0</v>
      </c>
      <c r="G269" s="6">
        <f t="shared" si="4"/>
        <v>0</v>
      </c>
      <c r="H269" s="92"/>
      <c r="I269" s="8"/>
    </row>
    <row r="270" spans="1:9">
      <c r="A270" s="7">
        <v>46291</v>
      </c>
      <c r="B270" s="5" t="s">
        <v>101</v>
      </c>
      <c r="C270" s="5">
        <v>0</v>
      </c>
      <c r="D270" s="5">
        <v>0</v>
      </c>
      <c r="E270" s="5">
        <v>0</v>
      </c>
      <c r="F270" s="5">
        <v>0</v>
      </c>
      <c r="G270" s="6">
        <f t="shared" si="4"/>
        <v>0</v>
      </c>
      <c r="H270" s="92"/>
      <c r="I270" s="8"/>
    </row>
    <row r="271" spans="1:9">
      <c r="A271" s="7">
        <v>46292</v>
      </c>
      <c r="B271" s="5" t="s">
        <v>101</v>
      </c>
      <c r="C271" s="5">
        <v>0</v>
      </c>
      <c r="D271" s="5">
        <v>0</v>
      </c>
      <c r="E271" s="5">
        <v>0</v>
      </c>
      <c r="F271" s="5">
        <v>0</v>
      </c>
      <c r="G271" s="6">
        <f t="shared" si="4"/>
        <v>0</v>
      </c>
      <c r="H271" s="93"/>
      <c r="I271" s="8"/>
    </row>
    <row r="272" spans="1:9">
      <c r="A272" s="7">
        <v>46293</v>
      </c>
      <c r="B272" s="5" t="s">
        <v>101</v>
      </c>
      <c r="C272" s="5">
        <v>0</v>
      </c>
      <c r="D272" s="5">
        <v>0</v>
      </c>
      <c r="E272" s="5">
        <v>0</v>
      </c>
      <c r="F272" s="5">
        <v>0</v>
      </c>
      <c r="G272" s="6">
        <f t="shared" si="4"/>
        <v>0</v>
      </c>
      <c r="H272" s="91">
        <f>SUM(G272:G278)</f>
        <v>0</v>
      </c>
      <c r="I272" s="8"/>
    </row>
    <row r="273" spans="1:9">
      <c r="A273" s="7">
        <v>46294</v>
      </c>
      <c r="B273" s="5" t="s">
        <v>101</v>
      </c>
      <c r="C273" s="5">
        <v>0</v>
      </c>
      <c r="D273" s="5">
        <v>0</v>
      </c>
      <c r="E273" s="5">
        <v>0</v>
      </c>
      <c r="F273" s="5">
        <v>0</v>
      </c>
      <c r="G273" s="6">
        <f t="shared" si="4"/>
        <v>0</v>
      </c>
      <c r="H273" s="92"/>
      <c r="I273" s="8"/>
    </row>
    <row r="274" spans="1:9">
      <c r="A274" s="7">
        <v>46295</v>
      </c>
      <c r="B274" s="5" t="s">
        <v>101</v>
      </c>
      <c r="C274" s="5">
        <v>0</v>
      </c>
      <c r="D274" s="5">
        <v>0</v>
      </c>
      <c r="E274" s="5">
        <v>0</v>
      </c>
      <c r="F274" s="5">
        <v>0</v>
      </c>
      <c r="G274" s="6">
        <f t="shared" si="4"/>
        <v>0</v>
      </c>
      <c r="H274" s="92"/>
      <c r="I274" s="8"/>
    </row>
    <row r="275" spans="1:9">
      <c r="A275" s="7">
        <v>46296</v>
      </c>
      <c r="B275" s="5" t="s">
        <v>101</v>
      </c>
      <c r="C275" s="5">
        <v>0</v>
      </c>
      <c r="D275" s="5">
        <v>0</v>
      </c>
      <c r="E275" s="5">
        <v>0</v>
      </c>
      <c r="F275" s="5">
        <v>0</v>
      </c>
      <c r="G275" s="6">
        <f t="shared" si="4"/>
        <v>0</v>
      </c>
      <c r="H275" s="92"/>
      <c r="I275" s="8"/>
    </row>
    <row r="276" spans="1:9">
      <c r="A276" s="7">
        <v>46297</v>
      </c>
      <c r="B276" s="5" t="s">
        <v>101</v>
      </c>
      <c r="C276" s="5">
        <v>0</v>
      </c>
      <c r="D276" s="5">
        <v>0</v>
      </c>
      <c r="E276" s="5">
        <v>0</v>
      </c>
      <c r="F276" s="5">
        <v>0</v>
      </c>
      <c r="G276" s="6">
        <f t="shared" si="4"/>
        <v>0</v>
      </c>
      <c r="H276" s="92"/>
      <c r="I276" s="8"/>
    </row>
    <row r="277" spans="1:9">
      <c r="A277" s="7">
        <v>46298</v>
      </c>
      <c r="B277" s="5" t="s">
        <v>101</v>
      </c>
      <c r="C277" s="5">
        <v>0</v>
      </c>
      <c r="D277" s="5">
        <v>0</v>
      </c>
      <c r="E277" s="5">
        <v>0</v>
      </c>
      <c r="F277" s="5">
        <v>0</v>
      </c>
      <c r="G277" s="6">
        <f t="shared" si="4"/>
        <v>0</v>
      </c>
      <c r="H277" s="92"/>
      <c r="I277" s="8"/>
    </row>
    <row r="278" spans="1:9">
      <c r="A278" s="7">
        <v>46299</v>
      </c>
      <c r="B278" s="5" t="s">
        <v>101</v>
      </c>
      <c r="C278" s="5">
        <v>0</v>
      </c>
      <c r="D278" s="5">
        <v>0</v>
      </c>
      <c r="E278" s="5">
        <v>0</v>
      </c>
      <c r="F278" s="5">
        <v>0</v>
      </c>
      <c r="G278" s="6">
        <f t="shared" si="4"/>
        <v>0</v>
      </c>
      <c r="H278" s="93"/>
      <c r="I278" s="8"/>
    </row>
    <row r="279" spans="1:9">
      <c r="A279" s="7">
        <v>46300</v>
      </c>
      <c r="B279" s="5" t="s">
        <v>101</v>
      </c>
      <c r="C279" s="5">
        <v>0</v>
      </c>
      <c r="D279" s="5">
        <v>0</v>
      </c>
      <c r="E279" s="5">
        <v>0</v>
      </c>
      <c r="F279" s="5">
        <v>0</v>
      </c>
      <c r="G279" s="6">
        <f t="shared" si="4"/>
        <v>0</v>
      </c>
      <c r="H279" s="91">
        <f>SUM(G279:G285)</f>
        <v>0</v>
      </c>
      <c r="I279" s="8"/>
    </row>
    <row r="280" spans="1:9">
      <c r="A280" s="7">
        <v>46301</v>
      </c>
      <c r="B280" s="5" t="s">
        <v>101</v>
      </c>
      <c r="C280" s="5">
        <v>0</v>
      </c>
      <c r="D280" s="5">
        <v>0</v>
      </c>
      <c r="E280" s="5">
        <v>0</v>
      </c>
      <c r="F280" s="5">
        <v>0</v>
      </c>
      <c r="G280" s="6">
        <f t="shared" si="4"/>
        <v>0</v>
      </c>
      <c r="H280" s="92"/>
      <c r="I280" s="8"/>
    </row>
    <row r="281" spans="1:9">
      <c r="A281" s="7">
        <v>46302</v>
      </c>
      <c r="B281" s="5" t="s">
        <v>101</v>
      </c>
      <c r="C281" s="5">
        <v>0</v>
      </c>
      <c r="D281" s="5">
        <v>0</v>
      </c>
      <c r="E281" s="5">
        <v>0</v>
      </c>
      <c r="F281" s="5">
        <v>0</v>
      </c>
      <c r="G281" s="6">
        <f t="shared" si="4"/>
        <v>0</v>
      </c>
      <c r="H281" s="92"/>
      <c r="I281" s="8"/>
    </row>
    <row r="282" spans="1:9">
      <c r="A282" s="7">
        <v>46303</v>
      </c>
      <c r="B282" s="5" t="s">
        <v>101</v>
      </c>
      <c r="C282" s="5">
        <v>0</v>
      </c>
      <c r="D282" s="5">
        <v>0</v>
      </c>
      <c r="E282" s="5">
        <v>0</v>
      </c>
      <c r="F282" s="5">
        <v>0</v>
      </c>
      <c r="G282" s="6">
        <f t="shared" si="4"/>
        <v>0</v>
      </c>
      <c r="H282" s="92"/>
      <c r="I282" s="8"/>
    </row>
    <row r="283" spans="1:9">
      <c r="A283" s="7">
        <v>46304</v>
      </c>
      <c r="B283" s="5" t="s">
        <v>101</v>
      </c>
      <c r="C283" s="5">
        <v>0</v>
      </c>
      <c r="D283" s="5">
        <v>0</v>
      </c>
      <c r="E283" s="5">
        <v>0</v>
      </c>
      <c r="F283" s="5">
        <v>0</v>
      </c>
      <c r="G283" s="6">
        <f t="shared" si="4"/>
        <v>0</v>
      </c>
      <c r="H283" s="92"/>
      <c r="I283" s="8"/>
    </row>
    <row r="284" spans="1:9">
      <c r="A284" s="7">
        <v>46305</v>
      </c>
      <c r="B284" s="5" t="s">
        <v>101</v>
      </c>
      <c r="C284" s="5">
        <v>0</v>
      </c>
      <c r="D284" s="5">
        <v>0</v>
      </c>
      <c r="E284" s="5">
        <v>0</v>
      </c>
      <c r="F284" s="5">
        <v>0</v>
      </c>
      <c r="G284" s="6">
        <f t="shared" si="4"/>
        <v>0</v>
      </c>
      <c r="H284" s="92"/>
      <c r="I284" s="8"/>
    </row>
    <row r="285" spans="1:9">
      <c r="A285" s="7">
        <v>46306</v>
      </c>
      <c r="B285" s="5" t="s">
        <v>101</v>
      </c>
      <c r="C285" s="5">
        <v>0</v>
      </c>
      <c r="D285" s="5">
        <v>0</v>
      </c>
      <c r="E285" s="5">
        <v>0</v>
      </c>
      <c r="F285" s="5">
        <v>0</v>
      </c>
      <c r="G285" s="6">
        <f t="shared" si="4"/>
        <v>0</v>
      </c>
      <c r="H285" s="93"/>
      <c r="I285" s="8"/>
    </row>
    <row r="286" spans="1:9">
      <c r="A286" s="7">
        <v>46307</v>
      </c>
      <c r="B286" s="5" t="s">
        <v>101</v>
      </c>
      <c r="C286" s="5">
        <v>0</v>
      </c>
      <c r="D286" s="5">
        <v>0</v>
      </c>
      <c r="E286" s="5">
        <v>0</v>
      </c>
      <c r="F286" s="5">
        <v>0</v>
      </c>
      <c r="G286" s="6">
        <f t="shared" si="4"/>
        <v>0</v>
      </c>
      <c r="H286" s="91">
        <f>SUM(G286:G292)</f>
        <v>0</v>
      </c>
      <c r="I286" s="8"/>
    </row>
    <row r="287" spans="1:9">
      <c r="A287" s="7">
        <v>46308</v>
      </c>
      <c r="B287" s="5" t="s">
        <v>101</v>
      </c>
      <c r="C287" s="5">
        <v>0</v>
      </c>
      <c r="D287" s="5">
        <v>0</v>
      </c>
      <c r="E287" s="5">
        <v>0</v>
      </c>
      <c r="F287" s="5">
        <v>0</v>
      </c>
      <c r="G287" s="6">
        <f t="shared" si="4"/>
        <v>0</v>
      </c>
      <c r="H287" s="92"/>
      <c r="I287" s="8"/>
    </row>
    <row r="288" spans="1:9">
      <c r="A288" s="7">
        <v>46309</v>
      </c>
      <c r="B288" s="5" t="s">
        <v>101</v>
      </c>
      <c r="C288" s="5">
        <v>0</v>
      </c>
      <c r="D288" s="5">
        <v>0</v>
      </c>
      <c r="E288" s="5">
        <v>0</v>
      </c>
      <c r="F288" s="5">
        <v>0</v>
      </c>
      <c r="G288" s="6">
        <f t="shared" si="4"/>
        <v>0</v>
      </c>
      <c r="H288" s="92"/>
      <c r="I288" s="8"/>
    </row>
    <row r="289" spans="1:9">
      <c r="A289" s="7">
        <v>46310</v>
      </c>
      <c r="B289" s="5" t="s">
        <v>101</v>
      </c>
      <c r="C289" s="5">
        <v>0</v>
      </c>
      <c r="D289" s="5">
        <v>0</v>
      </c>
      <c r="E289" s="5">
        <v>0</v>
      </c>
      <c r="F289" s="5">
        <v>0</v>
      </c>
      <c r="G289" s="6">
        <f t="shared" si="4"/>
        <v>0</v>
      </c>
      <c r="H289" s="92"/>
      <c r="I289" s="8"/>
    </row>
    <row r="290" spans="1:9">
      <c r="A290" s="7">
        <v>46311</v>
      </c>
      <c r="B290" s="5" t="s">
        <v>101</v>
      </c>
      <c r="C290" s="5">
        <v>0</v>
      </c>
      <c r="D290" s="5">
        <v>0</v>
      </c>
      <c r="E290" s="5">
        <v>0</v>
      </c>
      <c r="F290" s="5">
        <v>0</v>
      </c>
      <c r="G290" s="6">
        <f t="shared" si="4"/>
        <v>0</v>
      </c>
      <c r="H290" s="92"/>
      <c r="I290" s="8"/>
    </row>
    <row r="291" spans="1:9">
      <c r="A291" s="7">
        <v>46312</v>
      </c>
      <c r="B291" s="5" t="s">
        <v>101</v>
      </c>
      <c r="C291" s="5">
        <v>0</v>
      </c>
      <c r="D291" s="5">
        <v>0</v>
      </c>
      <c r="E291" s="5">
        <v>0</v>
      </c>
      <c r="F291" s="5">
        <v>0</v>
      </c>
      <c r="G291" s="6">
        <f t="shared" si="4"/>
        <v>0</v>
      </c>
      <c r="H291" s="92"/>
      <c r="I291" s="8"/>
    </row>
    <row r="292" spans="1:9">
      <c r="A292" s="7">
        <v>46313</v>
      </c>
      <c r="B292" s="5" t="s">
        <v>101</v>
      </c>
      <c r="C292" s="5">
        <v>0</v>
      </c>
      <c r="D292" s="5">
        <v>0</v>
      </c>
      <c r="E292" s="5">
        <v>0</v>
      </c>
      <c r="F292" s="5">
        <v>0</v>
      </c>
      <c r="G292" s="6">
        <f t="shared" si="4"/>
        <v>0</v>
      </c>
      <c r="H292" s="93"/>
      <c r="I292" s="8"/>
    </row>
    <row r="293" spans="1:9">
      <c r="A293" s="7">
        <v>46314</v>
      </c>
      <c r="B293" s="5" t="s">
        <v>101</v>
      </c>
      <c r="C293" s="5">
        <v>0</v>
      </c>
      <c r="D293" s="5">
        <v>0</v>
      </c>
      <c r="E293" s="5">
        <v>0</v>
      </c>
      <c r="F293" s="5">
        <v>0</v>
      </c>
      <c r="G293" s="6">
        <f t="shared" si="4"/>
        <v>0</v>
      </c>
      <c r="H293" s="91">
        <f>SUM(G293:G299)</f>
        <v>0</v>
      </c>
      <c r="I293" s="8"/>
    </row>
    <row r="294" spans="1:9">
      <c r="A294" s="7">
        <v>46315</v>
      </c>
      <c r="B294" s="5" t="s">
        <v>101</v>
      </c>
      <c r="C294" s="5">
        <v>0</v>
      </c>
      <c r="D294" s="5">
        <v>0</v>
      </c>
      <c r="E294" s="5">
        <v>0</v>
      </c>
      <c r="F294" s="5">
        <v>0</v>
      </c>
      <c r="G294" s="6">
        <f t="shared" si="4"/>
        <v>0</v>
      </c>
      <c r="H294" s="92"/>
      <c r="I294" s="8"/>
    </row>
    <row r="295" spans="1:9">
      <c r="A295" s="7">
        <v>46316</v>
      </c>
      <c r="B295" s="5" t="s">
        <v>101</v>
      </c>
      <c r="C295" s="5">
        <v>0</v>
      </c>
      <c r="D295" s="5">
        <v>0</v>
      </c>
      <c r="E295" s="5">
        <v>0</v>
      </c>
      <c r="F295" s="5">
        <v>0</v>
      </c>
      <c r="G295" s="6">
        <f t="shared" si="4"/>
        <v>0</v>
      </c>
      <c r="H295" s="92"/>
      <c r="I295" s="8"/>
    </row>
    <row r="296" spans="1:9">
      <c r="A296" s="7">
        <v>46317</v>
      </c>
      <c r="B296" s="5" t="s">
        <v>101</v>
      </c>
      <c r="C296" s="5">
        <v>0</v>
      </c>
      <c r="D296" s="5">
        <v>0</v>
      </c>
      <c r="E296" s="5">
        <v>0</v>
      </c>
      <c r="F296" s="5">
        <v>0</v>
      </c>
      <c r="G296" s="6">
        <f t="shared" si="4"/>
        <v>0</v>
      </c>
      <c r="H296" s="92"/>
      <c r="I296" s="8"/>
    </row>
    <row r="297" spans="1:9">
      <c r="A297" s="7">
        <v>46318</v>
      </c>
      <c r="B297" s="5" t="s">
        <v>101</v>
      </c>
      <c r="C297" s="5">
        <v>0</v>
      </c>
      <c r="D297" s="5">
        <v>0</v>
      </c>
      <c r="E297" s="5">
        <v>0</v>
      </c>
      <c r="F297" s="5">
        <v>0</v>
      </c>
      <c r="G297" s="6">
        <f t="shared" si="4"/>
        <v>0</v>
      </c>
      <c r="H297" s="92"/>
      <c r="I297" s="8"/>
    </row>
    <row r="298" spans="1:9">
      <c r="A298" s="7">
        <v>46319</v>
      </c>
      <c r="B298" s="5" t="s">
        <v>101</v>
      </c>
      <c r="C298" s="5">
        <v>0</v>
      </c>
      <c r="D298" s="5">
        <v>0</v>
      </c>
      <c r="E298" s="5">
        <v>0</v>
      </c>
      <c r="F298" s="5">
        <v>0</v>
      </c>
      <c r="G298" s="6">
        <f t="shared" si="4"/>
        <v>0</v>
      </c>
      <c r="H298" s="92"/>
      <c r="I298" s="8"/>
    </row>
    <row r="299" spans="1:9">
      <c r="A299" s="7">
        <v>46320</v>
      </c>
      <c r="B299" s="5" t="s">
        <v>101</v>
      </c>
      <c r="C299" s="5">
        <v>0</v>
      </c>
      <c r="D299" s="5">
        <v>0</v>
      </c>
      <c r="E299" s="5">
        <v>0</v>
      </c>
      <c r="F299" s="5">
        <v>0</v>
      </c>
      <c r="G299" s="6">
        <f t="shared" si="4"/>
        <v>0</v>
      </c>
      <c r="H299" s="93"/>
      <c r="I299" s="8"/>
    </row>
    <row r="300" spans="1:9">
      <c r="A300" s="7">
        <v>46321</v>
      </c>
      <c r="B300" s="5" t="s">
        <v>101</v>
      </c>
      <c r="C300" s="5">
        <v>0</v>
      </c>
      <c r="D300" s="5">
        <v>0</v>
      </c>
      <c r="E300" s="5">
        <v>0</v>
      </c>
      <c r="F300" s="5">
        <v>0</v>
      </c>
      <c r="G300" s="6">
        <f t="shared" si="4"/>
        <v>0</v>
      </c>
      <c r="H300" s="91">
        <f>SUM(G300:G306)</f>
        <v>0</v>
      </c>
      <c r="I300" s="8"/>
    </row>
    <row r="301" spans="1:9">
      <c r="A301" s="7">
        <v>46322</v>
      </c>
      <c r="B301" s="5" t="s">
        <v>101</v>
      </c>
      <c r="C301" s="5">
        <v>0</v>
      </c>
      <c r="D301" s="5">
        <v>0</v>
      </c>
      <c r="E301" s="5">
        <v>0</v>
      </c>
      <c r="F301" s="5">
        <v>0</v>
      </c>
      <c r="G301" s="6">
        <f t="shared" si="4"/>
        <v>0</v>
      </c>
      <c r="H301" s="92"/>
      <c r="I301" s="8"/>
    </row>
    <row r="302" spans="1:9">
      <c r="A302" s="7">
        <v>46323</v>
      </c>
      <c r="B302" s="5" t="s">
        <v>101</v>
      </c>
      <c r="C302" s="5">
        <v>0</v>
      </c>
      <c r="D302" s="5">
        <v>0</v>
      </c>
      <c r="E302" s="5">
        <v>0</v>
      </c>
      <c r="F302" s="5">
        <v>0</v>
      </c>
      <c r="G302" s="6">
        <f t="shared" si="4"/>
        <v>0</v>
      </c>
      <c r="H302" s="92"/>
      <c r="I302" s="8"/>
    </row>
    <row r="303" spans="1:9">
      <c r="A303" s="7">
        <v>46324</v>
      </c>
      <c r="B303" s="5" t="s">
        <v>101</v>
      </c>
      <c r="C303" s="5">
        <v>0</v>
      </c>
      <c r="D303" s="5">
        <v>0</v>
      </c>
      <c r="E303" s="5">
        <v>0</v>
      </c>
      <c r="F303" s="5">
        <v>0</v>
      </c>
      <c r="G303" s="6">
        <f t="shared" si="4"/>
        <v>0</v>
      </c>
      <c r="H303" s="92"/>
      <c r="I303" s="8"/>
    </row>
    <row r="304" spans="1:9">
      <c r="A304" s="7">
        <v>46325</v>
      </c>
      <c r="B304" s="5" t="s">
        <v>101</v>
      </c>
      <c r="C304" s="5">
        <v>0</v>
      </c>
      <c r="D304" s="5">
        <v>0</v>
      </c>
      <c r="E304" s="5">
        <v>0</v>
      </c>
      <c r="F304" s="5">
        <v>0</v>
      </c>
      <c r="G304" s="6">
        <f t="shared" si="4"/>
        <v>0</v>
      </c>
      <c r="H304" s="92"/>
      <c r="I304" s="8"/>
    </row>
    <row r="305" spans="1:9">
      <c r="A305" s="7">
        <v>46326</v>
      </c>
      <c r="B305" s="5" t="s">
        <v>101</v>
      </c>
      <c r="C305" s="5">
        <v>0</v>
      </c>
      <c r="D305" s="5">
        <v>0</v>
      </c>
      <c r="E305" s="5">
        <v>0</v>
      </c>
      <c r="F305" s="5">
        <v>0</v>
      </c>
      <c r="G305" s="6">
        <f t="shared" si="4"/>
        <v>0</v>
      </c>
      <c r="H305" s="92"/>
      <c r="I305" s="8"/>
    </row>
    <row r="306" spans="1:9">
      <c r="A306" s="7">
        <v>46327</v>
      </c>
      <c r="B306" s="5" t="s">
        <v>101</v>
      </c>
      <c r="C306" s="5">
        <v>0</v>
      </c>
      <c r="D306" s="5">
        <v>0</v>
      </c>
      <c r="E306" s="5">
        <v>0</v>
      </c>
      <c r="F306" s="5">
        <v>0</v>
      </c>
      <c r="G306" s="6">
        <f t="shared" si="4"/>
        <v>0</v>
      </c>
      <c r="H306" s="93"/>
      <c r="I306" s="8"/>
    </row>
    <row r="307" spans="1:9">
      <c r="A307" s="7">
        <v>46328</v>
      </c>
      <c r="B307" s="5" t="s">
        <v>101</v>
      </c>
      <c r="C307" s="5">
        <v>0</v>
      </c>
      <c r="D307" s="5">
        <v>0</v>
      </c>
      <c r="E307" s="5">
        <v>0</v>
      </c>
      <c r="F307" s="5">
        <v>0</v>
      </c>
      <c r="G307" s="6">
        <f t="shared" si="4"/>
        <v>0</v>
      </c>
      <c r="H307" s="91">
        <f>SUM(G307:G313)</f>
        <v>0</v>
      </c>
      <c r="I307" s="8"/>
    </row>
    <row r="308" spans="1:9">
      <c r="A308" s="7">
        <v>46329</v>
      </c>
      <c r="B308" s="5" t="s">
        <v>101</v>
      </c>
      <c r="C308" s="5">
        <v>0</v>
      </c>
      <c r="D308" s="5">
        <v>0</v>
      </c>
      <c r="E308" s="5">
        <v>0</v>
      </c>
      <c r="F308" s="5">
        <v>0</v>
      </c>
      <c r="G308" s="6">
        <f t="shared" si="4"/>
        <v>0</v>
      </c>
      <c r="H308" s="92"/>
      <c r="I308" s="8"/>
    </row>
    <row r="309" spans="1:9">
      <c r="A309" s="7">
        <v>46330</v>
      </c>
      <c r="B309" s="5" t="s">
        <v>101</v>
      </c>
      <c r="C309" s="5">
        <v>0</v>
      </c>
      <c r="D309" s="5">
        <v>0</v>
      </c>
      <c r="E309" s="5">
        <v>0</v>
      </c>
      <c r="F309" s="5">
        <v>0</v>
      </c>
      <c r="G309" s="6">
        <f t="shared" si="4"/>
        <v>0</v>
      </c>
      <c r="H309" s="92"/>
      <c r="I309" s="8"/>
    </row>
    <row r="310" spans="1:9">
      <c r="A310" s="7">
        <v>46331</v>
      </c>
      <c r="B310" s="5" t="s">
        <v>101</v>
      </c>
      <c r="C310" s="5">
        <v>0</v>
      </c>
      <c r="D310" s="5">
        <v>0</v>
      </c>
      <c r="E310" s="5">
        <v>0</v>
      </c>
      <c r="F310" s="5">
        <v>0</v>
      </c>
      <c r="G310" s="6">
        <f t="shared" si="4"/>
        <v>0</v>
      </c>
      <c r="H310" s="92"/>
      <c r="I310" s="8"/>
    </row>
    <row r="311" spans="1:9">
      <c r="A311" s="7">
        <v>46332</v>
      </c>
      <c r="B311" s="5" t="s">
        <v>101</v>
      </c>
      <c r="C311" s="5">
        <v>0</v>
      </c>
      <c r="D311" s="5">
        <v>0</v>
      </c>
      <c r="E311" s="5">
        <v>0</v>
      </c>
      <c r="F311" s="5">
        <v>0</v>
      </c>
      <c r="G311" s="6">
        <f t="shared" si="4"/>
        <v>0</v>
      </c>
      <c r="H311" s="92"/>
      <c r="I311" s="8"/>
    </row>
    <row r="312" spans="1:9">
      <c r="A312" s="7">
        <v>46333</v>
      </c>
      <c r="B312" s="5" t="s">
        <v>101</v>
      </c>
      <c r="C312" s="5">
        <v>0</v>
      </c>
      <c r="D312" s="5">
        <v>0</v>
      </c>
      <c r="E312" s="5">
        <v>0</v>
      </c>
      <c r="F312" s="5">
        <v>0</v>
      </c>
      <c r="G312" s="6">
        <f t="shared" si="4"/>
        <v>0</v>
      </c>
      <c r="H312" s="92"/>
      <c r="I312" s="8"/>
    </row>
    <row r="313" spans="1:9">
      <c r="A313" s="7">
        <v>46334</v>
      </c>
      <c r="B313" s="5" t="s">
        <v>101</v>
      </c>
      <c r="C313" s="5">
        <v>0</v>
      </c>
      <c r="D313" s="5">
        <v>0</v>
      </c>
      <c r="E313" s="5">
        <v>0</v>
      </c>
      <c r="F313" s="5">
        <v>0</v>
      </c>
      <c r="G313" s="6">
        <f t="shared" si="4"/>
        <v>0</v>
      </c>
      <c r="H313" s="93"/>
      <c r="I313" s="8"/>
    </row>
    <row r="314" spans="1:9">
      <c r="A314" s="7">
        <v>46335</v>
      </c>
      <c r="B314" s="5" t="s">
        <v>101</v>
      </c>
      <c r="C314" s="5">
        <v>0</v>
      </c>
      <c r="D314" s="5">
        <v>0</v>
      </c>
      <c r="E314" s="5">
        <v>0</v>
      </c>
      <c r="F314" s="5">
        <v>0</v>
      </c>
      <c r="G314" s="6">
        <f t="shared" si="4"/>
        <v>0</v>
      </c>
      <c r="H314" s="91">
        <f>SUM(G314:G320)</f>
        <v>0</v>
      </c>
      <c r="I314" s="8"/>
    </row>
    <row r="315" spans="1:9">
      <c r="A315" s="7">
        <v>46336</v>
      </c>
      <c r="B315" s="5" t="s">
        <v>101</v>
      </c>
      <c r="C315" s="5">
        <v>0</v>
      </c>
      <c r="D315" s="5">
        <v>0</v>
      </c>
      <c r="E315" s="5">
        <v>0</v>
      </c>
      <c r="F315" s="5">
        <v>0</v>
      </c>
      <c r="G315" s="6">
        <f t="shared" si="4"/>
        <v>0</v>
      </c>
      <c r="H315" s="92"/>
      <c r="I315" s="8"/>
    </row>
    <row r="316" spans="1:9">
      <c r="A316" s="7">
        <v>46337</v>
      </c>
      <c r="B316" s="5" t="s">
        <v>101</v>
      </c>
      <c r="C316" s="5">
        <v>0</v>
      </c>
      <c r="D316" s="5">
        <v>0</v>
      </c>
      <c r="E316" s="5">
        <v>0</v>
      </c>
      <c r="F316" s="5">
        <v>0</v>
      </c>
      <c r="G316" s="6">
        <f t="shared" si="4"/>
        <v>0</v>
      </c>
      <c r="H316" s="92"/>
      <c r="I316" s="8"/>
    </row>
    <row r="317" spans="1:9">
      <c r="A317" s="7">
        <v>46338</v>
      </c>
      <c r="B317" s="5" t="s">
        <v>101</v>
      </c>
      <c r="C317" s="5">
        <v>0</v>
      </c>
      <c r="D317" s="5">
        <v>0</v>
      </c>
      <c r="E317" s="5">
        <v>0</v>
      </c>
      <c r="F317" s="5">
        <v>0</v>
      </c>
      <c r="G317" s="6">
        <f t="shared" si="4"/>
        <v>0</v>
      </c>
      <c r="H317" s="92"/>
      <c r="I317" s="8"/>
    </row>
    <row r="318" spans="1:9">
      <c r="A318" s="7">
        <v>46339</v>
      </c>
      <c r="B318" s="5" t="s">
        <v>101</v>
      </c>
      <c r="C318" s="5">
        <v>0</v>
      </c>
      <c r="D318" s="5">
        <v>0</v>
      </c>
      <c r="E318" s="5">
        <v>0</v>
      </c>
      <c r="F318" s="5">
        <v>0</v>
      </c>
      <c r="G318" s="6">
        <f t="shared" si="4"/>
        <v>0</v>
      </c>
      <c r="H318" s="92"/>
      <c r="I318" s="8"/>
    </row>
    <row r="319" spans="1:9">
      <c r="A319" s="7">
        <v>46340</v>
      </c>
      <c r="B319" s="5" t="s">
        <v>101</v>
      </c>
      <c r="C319" s="5">
        <v>0</v>
      </c>
      <c r="D319" s="5">
        <v>0</v>
      </c>
      <c r="E319" s="5">
        <v>0</v>
      </c>
      <c r="F319" s="5">
        <v>0</v>
      </c>
      <c r="G319" s="6">
        <f t="shared" si="4"/>
        <v>0</v>
      </c>
      <c r="H319" s="92"/>
      <c r="I319" s="8"/>
    </row>
    <row r="320" spans="1:9">
      <c r="A320" s="7">
        <v>46341</v>
      </c>
      <c r="B320" s="5" t="s">
        <v>101</v>
      </c>
      <c r="C320" s="5">
        <v>0</v>
      </c>
      <c r="D320" s="5">
        <v>0</v>
      </c>
      <c r="E320" s="5">
        <v>0</v>
      </c>
      <c r="F320" s="5">
        <v>0</v>
      </c>
      <c r="G320" s="6">
        <f t="shared" si="4"/>
        <v>0</v>
      </c>
      <c r="H320" s="93"/>
      <c r="I320" s="8"/>
    </row>
    <row r="321" spans="1:9">
      <c r="A321" s="7">
        <v>46342</v>
      </c>
      <c r="B321" s="5" t="s">
        <v>101</v>
      </c>
      <c r="C321" s="5">
        <v>0</v>
      </c>
      <c r="D321" s="5">
        <v>0</v>
      </c>
      <c r="E321" s="5">
        <v>0</v>
      </c>
      <c r="F321" s="5">
        <v>0</v>
      </c>
      <c r="G321" s="6">
        <f t="shared" si="4"/>
        <v>0</v>
      </c>
      <c r="H321" s="91">
        <f>SUM(G321:G327)</f>
        <v>0</v>
      </c>
      <c r="I321" s="8"/>
    </row>
    <row r="322" spans="1:9">
      <c r="A322" s="7">
        <v>46343</v>
      </c>
      <c r="B322" s="5" t="s">
        <v>101</v>
      </c>
      <c r="C322" s="5">
        <v>0</v>
      </c>
      <c r="D322" s="5">
        <v>0</v>
      </c>
      <c r="E322" s="5">
        <v>0</v>
      </c>
      <c r="F322" s="5">
        <v>0</v>
      </c>
      <c r="G322" s="6">
        <f t="shared" si="4"/>
        <v>0</v>
      </c>
      <c r="H322" s="92"/>
      <c r="I322" s="8"/>
    </row>
    <row r="323" spans="1:9">
      <c r="A323" s="7">
        <v>46344</v>
      </c>
      <c r="B323" s="5" t="s">
        <v>101</v>
      </c>
      <c r="C323" s="5">
        <v>0</v>
      </c>
      <c r="D323" s="5">
        <v>0</v>
      </c>
      <c r="E323" s="5">
        <v>0</v>
      </c>
      <c r="F323" s="5">
        <v>0</v>
      </c>
      <c r="G323" s="6">
        <f t="shared" ref="G323:G367" si="5">SUM(F323,E323,C323-D323)</f>
        <v>0</v>
      </c>
      <c r="H323" s="92"/>
      <c r="I323" s="8"/>
    </row>
    <row r="324" spans="1:9">
      <c r="A324" s="7">
        <v>46345</v>
      </c>
      <c r="B324" s="5" t="s">
        <v>101</v>
      </c>
      <c r="C324" s="5">
        <v>0</v>
      </c>
      <c r="D324" s="5">
        <v>0</v>
      </c>
      <c r="E324" s="5">
        <v>0</v>
      </c>
      <c r="F324" s="5">
        <v>0</v>
      </c>
      <c r="G324" s="6">
        <f t="shared" si="5"/>
        <v>0</v>
      </c>
      <c r="H324" s="92"/>
      <c r="I324" s="8"/>
    </row>
    <row r="325" spans="1:9">
      <c r="A325" s="7">
        <v>46346</v>
      </c>
      <c r="B325" s="5" t="s">
        <v>101</v>
      </c>
      <c r="C325" s="5">
        <v>0</v>
      </c>
      <c r="D325" s="5">
        <v>0</v>
      </c>
      <c r="E325" s="5">
        <v>0</v>
      </c>
      <c r="F325" s="5">
        <v>0</v>
      </c>
      <c r="G325" s="6">
        <f t="shared" si="5"/>
        <v>0</v>
      </c>
      <c r="H325" s="92"/>
      <c r="I325" s="8"/>
    </row>
    <row r="326" spans="1:9">
      <c r="A326" s="7">
        <v>46347</v>
      </c>
      <c r="B326" s="5" t="s">
        <v>101</v>
      </c>
      <c r="C326" s="5">
        <v>0</v>
      </c>
      <c r="D326" s="5">
        <v>0</v>
      </c>
      <c r="E326" s="5">
        <v>0</v>
      </c>
      <c r="F326" s="5">
        <v>0</v>
      </c>
      <c r="G326" s="6">
        <f t="shared" si="5"/>
        <v>0</v>
      </c>
      <c r="H326" s="92"/>
      <c r="I326" s="8"/>
    </row>
    <row r="327" spans="1:9">
      <c r="A327" s="7">
        <v>46348</v>
      </c>
      <c r="B327" s="5" t="s">
        <v>101</v>
      </c>
      <c r="C327" s="5">
        <v>0</v>
      </c>
      <c r="D327" s="5">
        <v>0</v>
      </c>
      <c r="E327" s="5">
        <v>0</v>
      </c>
      <c r="F327" s="5">
        <v>0</v>
      </c>
      <c r="G327" s="6">
        <f t="shared" si="5"/>
        <v>0</v>
      </c>
      <c r="H327" s="93"/>
      <c r="I327" s="8"/>
    </row>
    <row r="328" spans="1:9">
      <c r="A328" s="7">
        <v>46349</v>
      </c>
      <c r="B328" s="5" t="s">
        <v>101</v>
      </c>
      <c r="C328" s="5">
        <v>0</v>
      </c>
      <c r="D328" s="5">
        <v>0</v>
      </c>
      <c r="E328" s="5">
        <v>0</v>
      </c>
      <c r="F328" s="5">
        <v>0</v>
      </c>
      <c r="G328" s="6">
        <f t="shared" si="5"/>
        <v>0</v>
      </c>
      <c r="H328" s="91">
        <f>SUM(G328:G334)</f>
        <v>0</v>
      </c>
      <c r="I328" s="8"/>
    </row>
    <row r="329" spans="1:9">
      <c r="A329" s="7">
        <v>46350</v>
      </c>
      <c r="B329" s="5" t="s">
        <v>101</v>
      </c>
      <c r="C329" s="5">
        <v>0</v>
      </c>
      <c r="D329" s="5">
        <v>0</v>
      </c>
      <c r="E329" s="5">
        <v>0</v>
      </c>
      <c r="F329" s="5">
        <v>0</v>
      </c>
      <c r="G329" s="6">
        <f t="shared" si="5"/>
        <v>0</v>
      </c>
      <c r="H329" s="92"/>
      <c r="I329" s="8"/>
    </row>
    <row r="330" spans="1:9">
      <c r="A330" s="7">
        <v>46351</v>
      </c>
      <c r="B330" s="5" t="s">
        <v>101</v>
      </c>
      <c r="C330" s="5">
        <v>0</v>
      </c>
      <c r="D330" s="5">
        <v>0</v>
      </c>
      <c r="E330" s="5">
        <v>0</v>
      </c>
      <c r="F330" s="5">
        <v>0</v>
      </c>
      <c r="G330" s="6">
        <f t="shared" si="5"/>
        <v>0</v>
      </c>
      <c r="H330" s="92"/>
      <c r="I330" s="8"/>
    </row>
    <row r="331" spans="1:9">
      <c r="A331" s="7">
        <v>46352</v>
      </c>
      <c r="B331" s="5" t="s">
        <v>101</v>
      </c>
      <c r="C331" s="5">
        <v>0</v>
      </c>
      <c r="D331" s="5">
        <v>0</v>
      </c>
      <c r="E331" s="5">
        <v>0</v>
      </c>
      <c r="F331" s="5">
        <v>0</v>
      </c>
      <c r="G331" s="6">
        <f t="shared" si="5"/>
        <v>0</v>
      </c>
      <c r="H331" s="92"/>
      <c r="I331" s="8"/>
    </row>
    <row r="332" spans="1:9">
      <c r="A332" s="7">
        <v>46353</v>
      </c>
      <c r="B332" s="5" t="s">
        <v>101</v>
      </c>
      <c r="C332" s="5">
        <v>0</v>
      </c>
      <c r="D332" s="5">
        <v>0</v>
      </c>
      <c r="E332" s="5">
        <v>0</v>
      </c>
      <c r="F332" s="5">
        <v>0</v>
      </c>
      <c r="G332" s="6">
        <f t="shared" si="5"/>
        <v>0</v>
      </c>
      <c r="H332" s="92"/>
      <c r="I332" s="8"/>
    </row>
    <row r="333" spans="1:9">
      <c r="A333" s="7">
        <v>46354</v>
      </c>
      <c r="B333" s="5" t="s">
        <v>101</v>
      </c>
      <c r="C333" s="5">
        <v>0</v>
      </c>
      <c r="D333" s="5">
        <v>0</v>
      </c>
      <c r="E333" s="5">
        <v>0</v>
      </c>
      <c r="F333" s="5">
        <v>0</v>
      </c>
      <c r="G333" s="6">
        <f t="shared" si="5"/>
        <v>0</v>
      </c>
      <c r="H333" s="92"/>
      <c r="I333" s="8"/>
    </row>
    <row r="334" spans="1:9">
      <c r="A334" s="7">
        <v>46355</v>
      </c>
      <c r="B334" s="5" t="s">
        <v>101</v>
      </c>
      <c r="C334" s="5">
        <v>0</v>
      </c>
      <c r="D334" s="5">
        <v>0</v>
      </c>
      <c r="E334" s="5">
        <v>0</v>
      </c>
      <c r="F334" s="5">
        <v>0</v>
      </c>
      <c r="G334" s="6">
        <f t="shared" si="5"/>
        <v>0</v>
      </c>
      <c r="H334" s="93"/>
      <c r="I334" s="8"/>
    </row>
    <row r="335" spans="1:9">
      <c r="A335" s="7">
        <v>46356</v>
      </c>
      <c r="B335" s="5" t="s">
        <v>101</v>
      </c>
      <c r="C335" s="5">
        <v>0</v>
      </c>
      <c r="D335" s="5">
        <v>0</v>
      </c>
      <c r="E335" s="5">
        <v>0</v>
      </c>
      <c r="F335" s="5">
        <v>0</v>
      </c>
      <c r="G335" s="6">
        <f t="shared" si="5"/>
        <v>0</v>
      </c>
      <c r="H335" s="91">
        <f>SUM(G335:G341)</f>
        <v>0</v>
      </c>
      <c r="I335" s="8"/>
    </row>
    <row r="336" spans="1:9">
      <c r="A336" s="7">
        <v>46357</v>
      </c>
      <c r="B336" s="5" t="s">
        <v>101</v>
      </c>
      <c r="C336" s="5">
        <v>0</v>
      </c>
      <c r="D336" s="5">
        <v>0</v>
      </c>
      <c r="E336" s="5">
        <v>0</v>
      </c>
      <c r="F336" s="5">
        <v>0</v>
      </c>
      <c r="G336" s="6">
        <f t="shared" si="5"/>
        <v>0</v>
      </c>
      <c r="H336" s="92"/>
      <c r="I336" s="8"/>
    </row>
    <row r="337" spans="1:9">
      <c r="A337" s="7">
        <v>46358</v>
      </c>
      <c r="B337" s="5" t="s">
        <v>101</v>
      </c>
      <c r="C337" s="5">
        <v>0</v>
      </c>
      <c r="D337" s="5">
        <v>0</v>
      </c>
      <c r="E337" s="5">
        <v>0</v>
      </c>
      <c r="F337" s="5">
        <v>0</v>
      </c>
      <c r="G337" s="6">
        <f t="shared" si="5"/>
        <v>0</v>
      </c>
      <c r="H337" s="92"/>
      <c r="I337" s="8"/>
    </row>
    <row r="338" spans="1:9">
      <c r="A338" s="7">
        <v>46359</v>
      </c>
      <c r="B338" s="5" t="s">
        <v>101</v>
      </c>
      <c r="C338" s="5">
        <v>0</v>
      </c>
      <c r="D338" s="5">
        <v>0</v>
      </c>
      <c r="E338" s="5">
        <v>0</v>
      </c>
      <c r="F338" s="5">
        <v>0</v>
      </c>
      <c r="G338" s="6">
        <f t="shared" si="5"/>
        <v>0</v>
      </c>
      <c r="H338" s="92"/>
      <c r="I338" s="8"/>
    </row>
    <row r="339" spans="1:9">
      <c r="A339" s="7">
        <v>46360</v>
      </c>
      <c r="B339" s="5" t="s">
        <v>101</v>
      </c>
      <c r="C339" s="5">
        <v>0</v>
      </c>
      <c r="D339" s="5">
        <v>0</v>
      </c>
      <c r="E339" s="5">
        <v>0</v>
      </c>
      <c r="F339" s="5">
        <v>0</v>
      </c>
      <c r="G339" s="6">
        <f t="shared" si="5"/>
        <v>0</v>
      </c>
      <c r="H339" s="92"/>
      <c r="I339" s="8"/>
    </row>
    <row r="340" spans="1:9">
      <c r="A340" s="7">
        <v>46361</v>
      </c>
      <c r="B340" s="5" t="s">
        <v>101</v>
      </c>
      <c r="C340" s="5">
        <v>0</v>
      </c>
      <c r="D340" s="5">
        <v>0</v>
      </c>
      <c r="E340" s="5">
        <v>0</v>
      </c>
      <c r="F340" s="5">
        <v>0</v>
      </c>
      <c r="G340" s="6">
        <f t="shared" si="5"/>
        <v>0</v>
      </c>
      <c r="H340" s="92"/>
      <c r="I340" s="8"/>
    </row>
    <row r="341" spans="1:9">
      <c r="A341" s="7">
        <v>46362</v>
      </c>
      <c r="B341" s="5" t="s">
        <v>101</v>
      </c>
      <c r="C341" s="5">
        <v>0</v>
      </c>
      <c r="D341" s="5">
        <v>0</v>
      </c>
      <c r="E341" s="5">
        <v>0</v>
      </c>
      <c r="F341" s="5">
        <v>0</v>
      </c>
      <c r="G341" s="6">
        <f t="shared" si="5"/>
        <v>0</v>
      </c>
      <c r="H341" s="93"/>
      <c r="I341" s="8"/>
    </row>
    <row r="342" spans="1:9">
      <c r="A342" s="7">
        <v>46363</v>
      </c>
      <c r="B342" s="5" t="s">
        <v>101</v>
      </c>
      <c r="C342" s="5">
        <v>0</v>
      </c>
      <c r="D342" s="5">
        <v>0</v>
      </c>
      <c r="E342" s="5">
        <v>0</v>
      </c>
      <c r="F342" s="5">
        <v>0</v>
      </c>
      <c r="G342" s="6">
        <f t="shared" si="5"/>
        <v>0</v>
      </c>
      <c r="H342" s="91">
        <f>SUM(G342:G348)</f>
        <v>0</v>
      </c>
      <c r="I342" s="8"/>
    </row>
    <row r="343" spans="1:9">
      <c r="A343" s="7">
        <v>46364</v>
      </c>
      <c r="B343" s="5" t="s">
        <v>101</v>
      </c>
      <c r="C343" s="5">
        <v>0</v>
      </c>
      <c r="D343" s="5">
        <v>0</v>
      </c>
      <c r="E343" s="5">
        <v>0</v>
      </c>
      <c r="F343" s="5">
        <v>0</v>
      </c>
      <c r="G343" s="6">
        <f t="shared" si="5"/>
        <v>0</v>
      </c>
      <c r="H343" s="92"/>
      <c r="I343" s="8"/>
    </row>
    <row r="344" spans="1:9">
      <c r="A344" s="7">
        <v>46365</v>
      </c>
      <c r="B344" s="5" t="s">
        <v>101</v>
      </c>
      <c r="C344" s="5">
        <v>0</v>
      </c>
      <c r="D344" s="5">
        <v>0</v>
      </c>
      <c r="E344" s="5">
        <v>0</v>
      </c>
      <c r="F344" s="5">
        <v>0</v>
      </c>
      <c r="G344" s="6">
        <f t="shared" si="5"/>
        <v>0</v>
      </c>
      <c r="H344" s="92"/>
      <c r="I344" s="8"/>
    </row>
    <row r="345" spans="1:9">
      <c r="A345" s="7">
        <v>46366</v>
      </c>
      <c r="B345" s="5" t="s">
        <v>101</v>
      </c>
      <c r="C345" s="5">
        <v>0</v>
      </c>
      <c r="D345" s="5">
        <v>0</v>
      </c>
      <c r="E345" s="5">
        <v>0</v>
      </c>
      <c r="F345" s="5">
        <v>0</v>
      </c>
      <c r="G345" s="6">
        <f t="shared" si="5"/>
        <v>0</v>
      </c>
      <c r="H345" s="92"/>
      <c r="I345" s="8"/>
    </row>
    <row r="346" spans="1:9">
      <c r="A346" s="7">
        <v>46367</v>
      </c>
      <c r="B346" s="5" t="s">
        <v>101</v>
      </c>
      <c r="C346" s="5">
        <v>0</v>
      </c>
      <c r="D346" s="5">
        <v>0</v>
      </c>
      <c r="E346" s="5">
        <v>0</v>
      </c>
      <c r="F346" s="5">
        <v>0</v>
      </c>
      <c r="G346" s="6">
        <f t="shared" si="5"/>
        <v>0</v>
      </c>
      <c r="H346" s="92"/>
      <c r="I346" s="8"/>
    </row>
    <row r="347" spans="1:9">
      <c r="A347" s="7">
        <v>46368</v>
      </c>
      <c r="B347" s="5" t="s">
        <v>101</v>
      </c>
      <c r="C347" s="5">
        <v>0</v>
      </c>
      <c r="D347" s="5">
        <v>0</v>
      </c>
      <c r="E347" s="5">
        <v>0</v>
      </c>
      <c r="F347" s="5">
        <v>0</v>
      </c>
      <c r="G347" s="6">
        <f t="shared" si="5"/>
        <v>0</v>
      </c>
      <c r="H347" s="92"/>
      <c r="I347" s="8"/>
    </row>
    <row r="348" spans="1:9">
      <c r="A348" s="7">
        <v>46369</v>
      </c>
      <c r="B348" s="5" t="s">
        <v>101</v>
      </c>
      <c r="C348" s="5">
        <v>0</v>
      </c>
      <c r="D348" s="5">
        <v>0</v>
      </c>
      <c r="E348" s="5">
        <v>0</v>
      </c>
      <c r="F348" s="5">
        <v>0</v>
      </c>
      <c r="G348" s="6">
        <f t="shared" si="5"/>
        <v>0</v>
      </c>
      <c r="H348" s="93"/>
      <c r="I348" s="8"/>
    </row>
    <row r="349" spans="1:9">
      <c r="A349" s="7">
        <v>46370</v>
      </c>
      <c r="B349" s="5" t="s">
        <v>101</v>
      </c>
      <c r="C349" s="5">
        <v>0</v>
      </c>
      <c r="D349" s="5">
        <v>0</v>
      </c>
      <c r="E349" s="5">
        <v>0</v>
      </c>
      <c r="F349" s="5">
        <v>0</v>
      </c>
      <c r="G349" s="6">
        <f t="shared" si="5"/>
        <v>0</v>
      </c>
      <c r="H349" s="91">
        <f>SUM(G349:G355)</f>
        <v>0</v>
      </c>
      <c r="I349" s="8"/>
    </row>
    <row r="350" spans="1:9">
      <c r="A350" s="7">
        <v>46371</v>
      </c>
      <c r="B350" s="5" t="s">
        <v>101</v>
      </c>
      <c r="C350" s="5">
        <v>0</v>
      </c>
      <c r="D350" s="5">
        <v>0</v>
      </c>
      <c r="E350" s="5">
        <v>0</v>
      </c>
      <c r="F350" s="5">
        <v>0</v>
      </c>
      <c r="G350" s="6">
        <f t="shared" si="5"/>
        <v>0</v>
      </c>
      <c r="H350" s="92"/>
      <c r="I350" s="8"/>
    </row>
    <row r="351" spans="1:9">
      <c r="A351" s="7">
        <v>46372</v>
      </c>
      <c r="B351" s="5" t="s">
        <v>101</v>
      </c>
      <c r="C351" s="5">
        <v>0</v>
      </c>
      <c r="D351" s="5">
        <v>0</v>
      </c>
      <c r="E351" s="5">
        <v>0</v>
      </c>
      <c r="F351" s="5">
        <v>0</v>
      </c>
      <c r="G351" s="6">
        <f t="shared" si="5"/>
        <v>0</v>
      </c>
      <c r="H351" s="92"/>
      <c r="I351" s="8"/>
    </row>
    <row r="352" spans="1:9">
      <c r="A352" s="7">
        <v>46373</v>
      </c>
      <c r="B352" s="5" t="s">
        <v>101</v>
      </c>
      <c r="C352" s="5">
        <v>0</v>
      </c>
      <c r="D352" s="5">
        <v>0</v>
      </c>
      <c r="E352" s="5">
        <v>0</v>
      </c>
      <c r="F352" s="5">
        <v>0</v>
      </c>
      <c r="G352" s="6">
        <f t="shared" si="5"/>
        <v>0</v>
      </c>
      <c r="H352" s="92"/>
      <c r="I352" s="8"/>
    </row>
    <row r="353" spans="1:9">
      <c r="A353" s="7">
        <v>46374</v>
      </c>
      <c r="B353" s="5" t="s">
        <v>101</v>
      </c>
      <c r="C353" s="5">
        <v>0</v>
      </c>
      <c r="D353" s="5">
        <v>0</v>
      </c>
      <c r="E353" s="5">
        <v>0</v>
      </c>
      <c r="F353" s="5">
        <v>0</v>
      </c>
      <c r="G353" s="6">
        <f t="shared" si="5"/>
        <v>0</v>
      </c>
      <c r="H353" s="92"/>
      <c r="I353" s="8"/>
    </row>
    <row r="354" spans="1:9">
      <c r="A354" s="7">
        <v>46375</v>
      </c>
      <c r="B354" s="5" t="s">
        <v>101</v>
      </c>
      <c r="C354" s="5">
        <v>0</v>
      </c>
      <c r="D354" s="5">
        <v>0</v>
      </c>
      <c r="E354" s="5">
        <v>0</v>
      </c>
      <c r="F354" s="5">
        <v>0</v>
      </c>
      <c r="G354" s="6">
        <f t="shared" si="5"/>
        <v>0</v>
      </c>
      <c r="H354" s="92"/>
      <c r="I354" s="8"/>
    </row>
    <row r="355" spans="1:9">
      <c r="A355" s="7">
        <v>46376</v>
      </c>
      <c r="B355" s="5" t="s">
        <v>101</v>
      </c>
      <c r="C355" s="5">
        <v>0</v>
      </c>
      <c r="D355" s="5">
        <v>0</v>
      </c>
      <c r="E355" s="5">
        <v>0</v>
      </c>
      <c r="F355" s="5">
        <v>0</v>
      </c>
      <c r="G355" s="6">
        <f t="shared" si="5"/>
        <v>0</v>
      </c>
      <c r="H355" s="93"/>
      <c r="I355" s="8"/>
    </row>
    <row r="356" spans="1:9">
      <c r="A356" s="7">
        <v>46377</v>
      </c>
      <c r="B356" s="5" t="s">
        <v>101</v>
      </c>
      <c r="C356" s="5">
        <v>0</v>
      </c>
      <c r="D356" s="5">
        <v>0</v>
      </c>
      <c r="E356" s="5">
        <v>0</v>
      </c>
      <c r="F356" s="5">
        <v>0</v>
      </c>
      <c r="G356" s="6">
        <f t="shared" si="5"/>
        <v>0</v>
      </c>
      <c r="H356" s="91">
        <f>SUM(G356:G362)</f>
        <v>0</v>
      </c>
      <c r="I356" s="8"/>
    </row>
    <row r="357" spans="1:9">
      <c r="A357" s="7">
        <v>46378</v>
      </c>
      <c r="B357" s="5" t="s">
        <v>101</v>
      </c>
      <c r="C357" s="5">
        <v>0</v>
      </c>
      <c r="D357" s="5">
        <v>0</v>
      </c>
      <c r="E357" s="5">
        <v>0</v>
      </c>
      <c r="F357" s="5">
        <v>0</v>
      </c>
      <c r="G357" s="6">
        <f t="shared" si="5"/>
        <v>0</v>
      </c>
      <c r="H357" s="92"/>
      <c r="I357" s="8"/>
    </row>
    <row r="358" spans="1:9">
      <c r="A358" s="7">
        <v>46379</v>
      </c>
      <c r="B358" s="5" t="s">
        <v>101</v>
      </c>
      <c r="C358" s="5">
        <v>0</v>
      </c>
      <c r="D358" s="5">
        <v>0</v>
      </c>
      <c r="E358" s="5">
        <v>0</v>
      </c>
      <c r="F358" s="5">
        <v>0</v>
      </c>
      <c r="G358" s="6">
        <f t="shared" si="5"/>
        <v>0</v>
      </c>
      <c r="H358" s="92"/>
      <c r="I358" s="8"/>
    </row>
    <row r="359" spans="1:9">
      <c r="A359" s="7">
        <v>46380</v>
      </c>
      <c r="B359" s="5" t="s">
        <v>101</v>
      </c>
      <c r="C359" s="5">
        <v>0</v>
      </c>
      <c r="D359" s="5">
        <v>0</v>
      </c>
      <c r="E359" s="5">
        <v>0</v>
      </c>
      <c r="F359" s="5">
        <v>0</v>
      </c>
      <c r="G359" s="6">
        <f t="shared" si="5"/>
        <v>0</v>
      </c>
      <c r="H359" s="92"/>
      <c r="I359" s="8"/>
    </row>
    <row r="360" spans="1:9">
      <c r="A360" s="7">
        <v>46381</v>
      </c>
      <c r="B360" s="5" t="s">
        <v>101</v>
      </c>
      <c r="C360" s="5">
        <v>0</v>
      </c>
      <c r="D360" s="5">
        <v>0</v>
      </c>
      <c r="E360" s="5">
        <v>0</v>
      </c>
      <c r="F360" s="5">
        <v>0</v>
      </c>
      <c r="G360" s="6">
        <f t="shared" si="5"/>
        <v>0</v>
      </c>
      <c r="H360" s="92"/>
      <c r="I360" s="8"/>
    </row>
    <row r="361" spans="1:9">
      <c r="A361" s="7">
        <v>46382</v>
      </c>
      <c r="B361" s="5" t="s">
        <v>101</v>
      </c>
      <c r="C361" s="5">
        <v>0</v>
      </c>
      <c r="D361" s="5">
        <v>0</v>
      </c>
      <c r="E361" s="5">
        <v>0</v>
      </c>
      <c r="F361" s="5">
        <v>0</v>
      </c>
      <c r="G361" s="6">
        <f t="shared" si="5"/>
        <v>0</v>
      </c>
      <c r="H361" s="92"/>
      <c r="I361" s="8"/>
    </row>
    <row r="362" spans="1:9">
      <c r="A362" s="7">
        <v>46383</v>
      </c>
      <c r="B362" s="5" t="s">
        <v>101</v>
      </c>
      <c r="C362" s="5">
        <v>0</v>
      </c>
      <c r="D362" s="5">
        <v>0</v>
      </c>
      <c r="E362" s="5">
        <v>0</v>
      </c>
      <c r="F362" s="5">
        <v>0</v>
      </c>
      <c r="G362" s="6">
        <f t="shared" si="5"/>
        <v>0</v>
      </c>
      <c r="H362" s="93"/>
      <c r="I362" s="8"/>
    </row>
    <row r="363" spans="1:9">
      <c r="A363" s="7">
        <v>46384</v>
      </c>
      <c r="B363" s="5" t="s">
        <v>101</v>
      </c>
      <c r="C363" s="5">
        <v>0</v>
      </c>
      <c r="D363" s="5">
        <v>0</v>
      </c>
      <c r="E363" s="5">
        <v>0</v>
      </c>
      <c r="F363" s="5">
        <v>0</v>
      </c>
      <c r="G363" s="6">
        <f t="shared" si="5"/>
        <v>0</v>
      </c>
      <c r="H363" s="12"/>
      <c r="I363" s="8"/>
    </row>
    <row r="364" spans="1:9">
      <c r="A364" s="7">
        <v>46385</v>
      </c>
      <c r="B364" s="5" t="s">
        <v>101</v>
      </c>
      <c r="C364" s="5">
        <v>0</v>
      </c>
      <c r="D364" s="5">
        <v>0</v>
      </c>
      <c r="E364" s="5">
        <v>0</v>
      </c>
      <c r="F364" s="5">
        <v>0</v>
      </c>
      <c r="G364" s="6">
        <f t="shared" si="5"/>
        <v>0</v>
      </c>
      <c r="H364" s="12"/>
      <c r="I364" s="8"/>
    </row>
    <row r="365" spans="1:9">
      <c r="A365" s="7">
        <v>46386</v>
      </c>
      <c r="B365" s="5" t="s">
        <v>101</v>
      </c>
      <c r="C365" s="5">
        <v>0</v>
      </c>
      <c r="D365" s="5">
        <v>0</v>
      </c>
      <c r="E365" s="5">
        <v>0</v>
      </c>
      <c r="F365" s="5">
        <v>0</v>
      </c>
      <c r="G365" s="6">
        <f t="shared" si="5"/>
        <v>0</v>
      </c>
      <c r="H365" s="12"/>
      <c r="I365" s="8"/>
    </row>
    <row r="366" spans="1:9">
      <c r="A366" s="7">
        <v>46387</v>
      </c>
      <c r="B366" s="5" t="s">
        <v>101</v>
      </c>
      <c r="C366" s="5">
        <v>0</v>
      </c>
      <c r="D366" s="5">
        <v>0</v>
      </c>
      <c r="E366" s="5">
        <v>0</v>
      </c>
      <c r="F366" s="5">
        <v>0</v>
      </c>
      <c r="G366" s="6">
        <f t="shared" si="5"/>
        <v>0</v>
      </c>
      <c r="H366" s="12"/>
      <c r="I366" s="8"/>
    </row>
    <row r="367" spans="1:9">
      <c r="A367" s="7">
        <v>46388</v>
      </c>
      <c r="B367" s="5" t="s">
        <v>101</v>
      </c>
      <c r="C367" s="5">
        <v>0</v>
      </c>
      <c r="D367" s="5">
        <v>0</v>
      </c>
      <c r="E367" s="5">
        <v>0</v>
      </c>
      <c r="F367" s="5">
        <v>0</v>
      </c>
      <c r="G367" s="6">
        <f t="shared" si="5"/>
        <v>0</v>
      </c>
      <c r="H367" s="12"/>
      <c r="I367" s="8"/>
    </row>
  </sheetData>
  <mergeCells count="53">
    <mergeCell ref="H349:H355"/>
    <mergeCell ref="H356:H362"/>
    <mergeCell ref="H300:H306"/>
    <mergeCell ref="H307:H313"/>
    <mergeCell ref="H314:H320"/>
    <mergeCell ref="H321:H327"/>
    <mergeCell ref="H328:H334"/>
    <mergeCell ref="H335:H341"/>
    <mergeCell ref="H342:H348"/>
    <mergeCell ref="H174:H180"/>
    <mergeCell ref="H181:H187"/>
    <mergeCell ref="H188:H194"/>
    <mergeCell ref="H195:H201"/>
    <mergeCell ref="H230:H236"/>
    <mergeCell ref="H97:H103"/>
    <mergeCell ref="H104:H110"/>
    <mergeCell ref="H111:H117"/>
    <mergeCell ref="H160:H166"/>
    <mergeCell ref="H167:H173"/>
    <mergeCell ref="H2:H5"/>
    <mergeCell ref="H6:H12"/>
    <mergeCell ref="H13:H19"/>
    <mergeCell ref="H20:H26"/>
    <mergeCell ref="H27:H33"/>
    <mergeCell ref="H272:H278"/>
    <mergeCell ref="H279:H285"/>
    <mergeCell ref="H286:H292"/>
    <mergeCell ref="H293:H299"/>
    <mergeCell ref="H202:H208"/>
    <mergeCell ref="H209:H215"/>
    <mergeCell ref="H216:H222"/>
    <mergeCell ref="H223:H229"/>
    <mergeCell ref="H265:H271"/>
    <mergeCell ref="H258:H264"/>
    <mergeCell ref="H237:H243"/>
    <mergeCell ref="H244:H250"/>
    <mergeCell ref="H251:H257"/>
    <mergeCell ref="K9:O17"/>
    <mergeCell ref="H132:H138"/>
    <mergeCell ref="H139:H145"/>
    <mergeCell ref="H146:H152"/>
    <mergeCell ref="H153:H159"/>
    <mergeCell ref="H41:H47"/>
    <mergeCell ref="H48:H54"/>
    <mergeCell ref="H55:H61"/>
    <mergeCell ref="H62:H68"/>
    <mergeCell ref="H69:H75"/>
    <mergeCell ref="H76:H82"/>
    <mergeCell ref="H83:H89"/>
    <mergeCell ref="H125:H131"/>
    <mergeCell ref="H118:H124"/>
    <mergeCell ref="H34:H40"/>
    <mergeCell ref="H90:H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48C6-14D0-4E3A-B273-F9E8A61B246E}">
  <dimension ref="A1:BQ283"/>
  <sheetViews>
    <sheetView topLeftCell="A7" workbookViewId="0">
      <selection activeCell="G23" sqref="G23"/>
    </sheetView>
  </sheetViews>
  <sheetFormatPr defaultRowHeight="15"/>
  <cols>
    <col min="1" max="1" width="29.140625" bestFit="1" customWidth="1"/>
    <col min="2" max="2" width="18.7109375" customWidth="1"/>
    <col min="3" max="3" width="13.5703125" customWidth="1"/>
    <col min="4" max="4" width="13.140625" customWidth="1"/>
    <col min="5" max="5" width="19.140625" customWidth="1"/>
    <col min="6" max="6" width="15.42578125" customWidth="1"/>
    <col min="7" max="7" width="19" customWidth="1"/>
    <col min="8" max="8" width="7.140625" customWidth="1"/>
    <col min="11" max="12" width="0" hidden="1" customWidth="1"/>
  </cols>
  <sheetData>
    <row r="1" spans="1:69" ht="23.25">
      <c r="A1" s="98" t="s">
        <v>102</v>
      </c>
      <c r="B1" s="98"/>
      <c r="C1" s="98"/>
      <c r="D1" s="98"/>
      <c r="E1" s="98"/>
      <c r="F1" s="98"/>
      <c r="G1" s="98"/>
      <c r="H1" s="98"/>
      <c r="I1" s="98"/>
      <c r="J1" s="98"/>
      <c r="L1" t="s">
        <v>103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>
      <c r="A2" s="1"/>
      <c r="C2" s="1"/>
      <c r="D2" s="1"/>
      <c r="E2" s="1"/>
      <c r="F2" s="1"/>
      <c r="G2" s="1"/>
      <c r="H2" s="1"/>
      <c r="I2" s="1"/>
      <c r="J2" s="1"/>
      <c r="K2" s="1"/>
      <c r="L2" s="1" t="s">
        <v>14</v>
      </c>
      <c r="M2" s="1"/>
      <c r="N2" s="105"/>
      <c r="O2" s="10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5.75">
      <c r="A3" s="52" t="s">
        <v>104</v>
      </c>
      <c r="B3" s="55" t="s">
        <v>103</v>
      </c>
      <c r="C3" s="1"/>
      <c r="D3" s="1"/>
      <c r="E3" s="1"/>
      <c r="F3" s="1"/>
      <c r="G3" s="1"/>
      <c r="H3" s="1"/>
      <c r="I3" s="1"/>
      <c r="J3" s="1"/>
      <c r="K3" s="1"/>
      <c r="L3" s="1" t="s">
        <v>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9.949999999999999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16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4.95" customHeight="1">
      <c r="A5" s="99" t="s">
        <v>105</v>
      </c>
      <c r="B5" s="100"/>
      <c r="C5" s="99" t="s">
        <v>106</v>
      </c>
      <c r="D5" s="100"/>
      <c r="E5" s="99" t="s">
        <v>107</v>
      </c>
      <c r="F5" s="100"/>
      <c r="G5" s="99" t="s">
        <v>108</v>
      </c>
      <c r="H5" s="104"/>
      <c r="I5" s="1"/>
      <c r="J5" s="1"/>
      <c r="K5" s="1"/>
      <c r="L5" s="1" t="s">
        <v>17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39.950000000000003" customHeight="1">
      <c r="A6" s="96">
        <f>IF($B$3="All Games",'Consolidated KPI'!B24+'Consolidated KPI'!C24+'Consolidated KPI'!D24+'Consolidated KPI'!E24,IF($B$3="Taival",'Consolidated KPI'!B24,IF($B$3="Colossus",'Consolidated KPI'!C24,IF($B$3="Putania's Purgatory",'Consolidated KPI'!D24,IF($B$3="Fleet Breakers",'Consolidated KPI'!E24,"")))))</f>
        <v>9775</v>
      </c>
      <c r="B6" s="101"/>
      <c r="C6" s="102">
        <f>IF($B$3="All Games",A6/('Consolidated KPI'!B26+'Consolidated KPI'!C26+'Consolidated KPI'!D26+'Consolidated KPI'!E26),IF($B$3="Taival",'Consolidated KPI'!B24/'Consolidated KPI'!B26,IF($B$3="Colossus",'Consolidated KPI'!C24/'Consolidated KPI'!C26,IF($B$3="Putania's Purgatory",'Consolidated KPI'!D24/'Consolidated KPI'!D26,IF($B$3="Fleet Breakers",'Consolidated KPI'!E24/'Consolidated KPI'!E26,"")))))</f>
        <v>7.8358597801951146E-2</v>
      </c>
      <c r="D6" s="103"/>
      <c r="E6" s="96">
        <f>IF($B$3="All Games",'Consolidated KPI'!Q2+'Consolidated KPI'!Q6+'Consolidated KPI'!Q10+'Consolidated KPI'!Q14,IF($B$3="Taival",'Consolidated KPI'!Q2,IF($B$3="Colossus",'Consolidated KPI'!Q6,IF($B$3="Putania's Purgatory",'Consolidated KPI'!Q10,IF($B$3="Fleet Breakers",'Consolidated KPI'!Q14,"")))))</f>
        <v>987</v>
      </c>
      <c r="F6" s="101"/>
      <c r="G6" s="96">
        <f>IF($B$3="All Games",'Consolidated KPI'!B25+'Consolidated KPI'!C25+'Consolidated KPI'!D25+'Consolidated KPI'!E25,IF($B$3="Taival",'Consolidated KPI'!B25,IF($B$3="Colossus",'Consolidated KPI'!C25,IF($B$3="Putania's Purgatory",'Consolidated KPI'!D25,IF($B$3="Fleet Breakers",'Consolidated KPI'!E25,"")))))</f>
        <v>501956</v>
      </c>
      <c r="H6" s="9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</row>
    <row r="8" spans="1:69" ht="18.75">
      <c r="A8" s="51" t="s">
        <v>109</v>
      </c>
      <c r="B8" s="1"/>
      <c r="C8" s="1"/>
      <c r="D8" s="1"/>
      <c r="E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69">
      <c r="A9" s="56" t="s">
        <v>110</v>
      </c>
      <c r="B9" s="63" t="str">
        <f>IF($B$3="All Games","All Games",$B$3)</f>
        <v>All Games</v>
      </c>
      <c r="C9" s="57" t="str">
        <f>IF($B$3="All Games","Taival","")</f>
        <v>Taival</v>
      </c>
      <c r="D9" s="57" t="str">
        <f>IF($B$3="All Games","Colossus","")</f>
        <v>Colossus</v>
      </c>
      <c r="E9" s="57" t="str">
        <f>IF($B$3="All Games","Putania's Purgatory","")</f>
        <v>Putania's Purgatory</v>
      </c>
      <c r="F9" s="58" t="str">
        <f>IF($B$3="All Games","Fleet Breakers","")</f>
        <v>Fleet Breakers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>
      <c r="A10" s="54">
        <f>'Consolidated KPI'!B1</f>
        <v>46026</v>
      </c>
      <c r="B10" s="53">
        <f>IF($B$3="All Games",'Consolidated KPI'!B2+'Consolidated KPI'!B6+'Consolidated KPI'!B10+'Consolidated KPI'!B14,IF($B$3="Taival",'Consolidated KPI'!B2,IF($B$3="Colossus",'Consolidated KPI'!B6,IF($B$3="Putania's Purgatory",'Consolidated KPI'!B10,IF($B$3="Fleet Breakers",'Consolidated KPI'!B14,"")))))</f>
        <v>230</v>
      </c>
      <c r="C10" s="53">
        <f>IF($B$3="All Games",'Consolidated KPI'!B2,"")</f>
        <v>4</v>
      </c>
      <c r="D10" s="53">
        <f>IF($B$3="All Games",'Consolidated KPI'!B6,"")</f>
        <v>22</v>
      </c>
      <c r="E10" s="53">
        <f>IF($B$3="All Games",'Consolidated KPI'!B10,"")</f>
        <v>155</v>
      </c>
      <c r="F10" s="53">
        <f>IF($B$3="All Games",'Consolidated KPI'!B14,"")</f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69">
      <c r="A11" s="54">
        <f>'Consolidated KPI'!C1</f>
        <v>46033</v>
      </c>
      <c r="B11" s="53">
        <f>IF($B$3="All Games",'Consolidated KPI'!C2+'Consolidated KPI'!C6+'Consolidated KPI'!C10+'Consolidated KPI'!C14,IF($B$3="Taival",'Consolidated KPI'!C2,IF($B$3="Colossus",'Consolidated KPI'!C6,IF($B$3="Putania's Purgatory",'Consolidated KPI'!C10,IF($B$3="Fleet Breakers",'Consolidated KPI'!C14,"")))))</f>
        <v>136</v>
      </c>
      <c r="C11" s="53">
        <f>IF($B$3="All Games",'Consolidated KPI'!C2,"")</f>
        <v>2</v>
      </c>
      <c r="D11" s="53">
        <f>IF($B$3="All Games",'Consolidated KPI'!C6,"")</f>
        <v>22</v>
      </c>
      <c r="E11" s="53">
        <f>IF($B$3="All Games",'Consolidated KPI'!C10,"")</f>
        <v>36</v>
      </c>
      <c r="F11" s="53">
        <f>IF($B$3="All Games",'Consolidated KPI'!C14,"")</f>
        <v>76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69">
      <c r="A12" s="54">
        <f>'Consolidated KPI'!D1</f>
        <v>46040</v>
      </c>
      <c r="B12" s="53">
        <f>IF($B$3="All Games",'Consolidated KPI'!D2+'Consolidated KPI'!D6+'Consolidated KPI'!D10+'Consolidated KPI'!D14,IF($B$3="Taival",'Consolidated KPI'!D2,IF($B$3="Colossus",'Consolidated KPI'!D6,IF($B$3="Putania's Purgatory",'Consolidated KPI'!D10,IF($B$3="Fleet Breakers",'Consolidated KPI'!D14,"")))))</f>
        <v>193</v>
      </c>
      <c r="C12" s="53">
        <f>IF($B$3="All Games",'Consolidated KPI'!D2,"")</f>
        <v>16</v>
      </c>
      <c r="D12" s="53">
        <f>IF($B$3="All Games",'Consolidated KPI'!D6,"")</f>
        <v>23</v>
      </c>
      <c r="E12" s="53">
        <f>IF($B$3="All Games",'Consolidated KPI'!D10,"")</f>
        <v>16</v>
      </c>
      <c r="F12" s="53">
        <f>IF($B$3="All Games",'Consolidated KPI'!D14,"")</f>
        <v>138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</row>
    <row r="13" spans="1:69">
      <c r="A13" s="54">
        <f>'Consolidated KPI'!E1</f>
        <v>46047</v>
      </c>
      <c r="B13" s="53">
        <f>IF($B$3="All Games",'Consolidated KPI'!E2+'Consolidated KPI'!E6+'Consolidated KPI'!E10+'Consolidated KPI'!E14,IF($B$3="Taival",'Consolidated KPI'!E2,IF($B$3="Colossus",'Consolidated KPI'!E6,IF($B$3="Putania's Purgatory",'Consolidated KPI'!E10,IF($B$3="Fleet Breakers",'Consolidated KPI'!E14,"")))))</f>
        <v>65</v>
      </c>
      <c r="C13" s="53">
        <f>IF($B$3="All Games",'Consolidated KPI'!E2,"")</f>
        <v>0</v>
      </c>
      <c r="D13" s="53">
        <f>IF($B$3="All Games",'Consolidated KPI'!E6,"")</f>
        <v>20</v>
      </c>
      <c r="E13" s="53">
        <f>IF($B$3="All Games",'Consolidated KPI'!E10,"")</f>
        <v>12</v>
      </c>
      <c r="F13" s="53">
        <f>IF($B$3="All Games",'Consolidated KPI'!E14,"")</f>
        <v>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</row>
    <row r="14" spans="1:69">
      <c r="A14" s="54">
        <f>'Consolidated KPI'!F1</f>
        <v>46054</v>
      </c>
      <c r="B14" s="53">
        <f>IF($B$3="All Games",'Consolidated KPI'!F2+'Consolidated KPI'!F6+'Consolidated KPI'!F10+'Consolidated KPI'!F14,IF($B$3="Taival",'Consolidated KPI'!F2,IF($B$3="Colossus",'Consolidated KPI'!F6,IF($B$3="Putania's Purgatory",'Consolidated KPI'!F10,IF($B$3="Fleet Breakers",'Consolidated KPI'!F14,"")))))</f>
        <v>305</v>
      </c>
      <c r="C14" s="53">
        <f>IF($B$3="All Games",'Consolidated KPI'!F2,"")</f>
        <v>-2</v>
      </c>
      <c r="D14" s="53">
        <f>IF($B$3="All Games",'Consolidated KPI'!F6,"")</f>
        <v>286</v>
      </c>
      <c r="E14" s="53">
        <f>IF($B$3="All Games",'Consolidated KPI'!F10,"")</f>
        <v>23</v>
      </c>
      <c r="F14" s="53">
        <f>IF($B$3="All Games",'Consolidated KPI'!F14,"")</f>
        <v>-2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>
      <c r="A15" s="54">
        <f>'Consolidated KPI'!G1</f>
        <v>46061</v>
      </c>
      <c r="B15" s="53">
        <f>IF($B$3="All Games",'Consolidated KPI'!G2+'Consolidated KPI'!G6+'Consolidated KPI'!G10+'Consolidated KPI'!G14,IF($B$3="Taival",'Consolidated KPI'!G2,IF($B$3="Colossus",'Consolidated KPI'!G6,IF($B$3="Putania's Purgatory",'Consolidated KPI'!G10,IF($B$3="Fleet Breakers",'Consolidated KPI'!G14,"")))))</f>
        <v>126</v>
      </c>
      <c r="C15" s="53">
        <f>IF($B$3="All Games",'Consolidated KPI'!G2,"")</f>
        <v>-6</v>
      </c>
      <c r="D15" s="53">
        <f>IF($B$3="All Games",'Consolidated KPI'!G6,"")</f>
        <v>90</v>
      </c>
      <c r="E15" s="53">
        <f>IF($B$3="All Games",'Consolidated KPI'!G10,"")</f>
        <v>30</v>
      </c>
      <c r="F15" s="53">
        <f>IF($B$3="All Games",'Consolidated KPI'!G14,"")</f>
        <v>12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spans="1:69">
      <c r="A16" s="54">
        <f>'Consolidated KPI'!H1</f>
        <v>46068</v>
      </c>
      <c r="B16" s="53">
        <f>IF($B$3="All Games",'Consolidated KPI'!H2+'Consolidated KPI'!H6+'Consolidated KPI'!H10+'Consolidated KPI'!H14,IF($B$3="Taival",'Consolidated KPI'!H2,IF($B$3="Colossus",'Consolidated KPI'!H6,IF($B$3="Putania's Purgatory",'Consolidated KPI'!H10,IF($B$3="Fleet Breakers",'Consolidated KPI'!H14,"")))))</f>
        <v>166</v>
      </c>
      <c r="C16" s="53">
        <f>IF($B$3="All Games",'Consolidated KPI'!H2,"")</f>
        <v>4</v>
      </c>
      <c r="D16" s="53">
        <f>IF($B$3="All Games",'Consolidated KPI'!H6,"")</f>
        <v>132</v>
      </c>
      <c r="E16" s="53">
        <f>IF($B$3="All Games",'Consolidated KPI'!H10,"")</f>
        <v>29</v>
      </c>
      <c r="F16" s="53">
        <f>IF($B$3="All Games",'Consolidated KPI'!H14,"")</f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spans="1:69">
      <c r="A17" s="54">
        <f>'Consolidated KPI'!I1</f>
        <v>46075</v>
      </c>
      <c r="B17" s="53">
        <f>IF($B$3="All Games",'Consolidated KPI'!I2+'Consolidated KPI'!I6+'Consolidated KPI'!I10+'Consolidated KPI'!I14,IF($B$3="Taival",'Consolidated KPI'!I2,IF($B$3="Colossus",'Consolidated KPI'!I6,IF($B$3="Putania's Purgatory",'Consolidated KPI'!I10,IF($B$3="Fleet Breakers",'Consolidated KPI'!I14,"")))))</f>
        <v>156</v>
      </c>
      <c r="C17" s="53">
        <f>IF($B$3="All Games",'Consolidated KPI'!I2,"")</f>
        <v>26</v>
      </c>
      <c r="D17" s="53">
        <f>IF($B$3="All Games",'Consolidated KPI'!I6,"")</f>
        <v>54</v>
      </c>
      <c r="E17" s="53">
        <f>IF($B$3="All Games",'Consolidated KPI'!I10,"")</f>
        <v>76</v>
      </c>
      <c r="F17" s="53">
        <f>IF($B$3="All Games",'Consolidated KPI'!I14,"")</f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spans="1:69">
      <c r="A18" s="54">
        <f>'Consolidated KPI'!J1</f>
        <v>46082</v>
      </c>
      <c r="B18" s="53">
        <f>IF($B$3="All Games",'Consolidated KPI'!J2+'Consolidated KPI'!J6+'Consolidated KPI'!J10+'Consolidated KPI'!J14,IF($B$3="Taival",'Consolidated KPI'!J2,IF($B$3="Colossus",'Consolidated KPI'!J6,IF($B$3="Putania's Purgatory",'Consolidated KPI'!J10,IF($B$3="Fleet Breakers",'Consolidated KPI'!J14,"")))))</f>
        <v>1037</v>
      </c>
      <c r="C18" s="53">
        <f>IF($B$3="All Games",'Consolidated KPI'!J2,"")</f>
        <v>3</v>
      </c>
      <c r="D18" s="53">
        <f>IF($B$3="All Games",'Consolidated KPI'!J6,"")</f>
        <v>89</v>
      </c>
      <c r="E18" s="53">
        <f>IF($B$3="All Games",'Consolidated KPI'!J10,"")</f>
        <v>959</v>
      </c>
      <c r="F18" s="53">
        <f>IF($B$3="All Games",'Consolidated KPI'!J14,"")</f>
        <v>-14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spans="1:69">
      <c r="A19" s="54">
        <f>'Consolidated KPI'!K1</f>
        <v>46089</v>
      </c>
      <c r="B19" s="53">
        <f>IF($B$3="All Games",'Consolidated KPI'!K2+'Consolidated KPI'!K6+'Consolidated KPI'!K10+'Consolidated KPI'!K14,IF($B$3="Taival",'Consolidated KPI'!K2,IF($B$3="Colossus",'Consolidated KPI'!K6,IF($B$3="Putania's Purgatory",'Consolidated KPI'!K10,IF($B$3="Fleet Breakers",'Consolidated KPI'!K14,"")))))</f>
        <v>118</v>
      </c>
      <c r="C19" s="53">
        <f>IF($B$3="All Games",'Consolidated KPI'!K2,"")</f>
        <v>7</v>
      </c>
      <c r="D19" s="53">
        <f>IF($B$3="All Games",'Consolidated KPI'!K6,"")</f>
        <v>69</v>
      </c>
      <c r="E19" s="53">
        <f>IF($B$3="All Games",'Consolidated KPI'!K10,"")</f>
        <v>37</v>
      </c>
      <c r="F19" s="53">
        <f>IF($B$3="All Games",'Consolidated KPI'!K14,"")</f>
        <v>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spans="1:69">
      <c r="A20" s="54">
        <f>'Consolidated KPI'!L1</f>
        <v>46096</v>
      </c>
      <c r="B20" s="53">
        <f>IF($B$3="All Games",'Consolidated KPI'!L2+'Consolidated KPI'!L6+'Consolidated KPI'!L10+'Consolidated KPI'!L14,IF($B$3="Taival",'Consolidated KPI'!L2,IF($B$3="Colossus",'Consolidated KPI'!L6,IF($B$3="Putania's Purgatory",'Consolidated KPI'!L10,IF($B$3="Fleet Breakers",'Consolidated KPI'!L14,"")))))</f>
        <v>131</v>
      </c>
      <c r="C20" s="53">
        <f>IF($B$3="All Games",'Consolidated KPI'!L2,"")</f>
        <v>11</v>
      </c>
      <c r="D20" s="53">
        <f>IF($B$3="All Games",'Consolidated KPI'!L6,"")</f>
        <v>95</v>
      </c>
      <c r="E20" s="53">
        <f>IF($B$3="All Games",'Consolidated KPI'!L10,"")</f>
        <v>24</v>
      </c>
      <c r="F20" s="53">
        <f>IF($B$3="All Games",'Consolidated KPI'!L14,"")</f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spans="1:69">
      <c r="A21" s="54">
        <f>'Consolidated KPI'!M1</f>
        <v>46103</v>
      </c>
      <c r="B21" s="53">
        <f>IF($B$3="All Games",'Consolidated KPI'!M2+'Consolidated KPI'!M6+'Consolidated KPI'!M10+'Consolidated KPI'!M14,IF($B$3="Taival",'Consolidated KPI'!M2,IF($B$3="Colossus",'Consolidated KPI'!M6,IF($B$3="Putania's Purgatory",'Consolidated KPI'!M10,IF($B$3="Fleet Breakers",'Consolidated KPI'!M14,"")))))</f>
        <v>246</v>
      </c>
      <c r="C21" s="53">
        <f>IF($B$3="All Games",'Consolidated KPI'!M2,"")</f>
        <v>22</v>
      </c>
      <c r="D21" s="53">
        <f>IF($B$3="All Games",'Consolidated KPI'!M6,"")</f>
        <v>218</v>
      </c>
      <c r="E21" s="53">
        <f>IF($B$3="All Games",'Consolidated KPI'!M10,"")</f>
        <v>11</v>
      </c>
      <c r="F21" s="53">
        <f>IF($B$3="All Games",'Consolidated KPI'!M14,"")</f>
        <v>-5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spans="1:69">
      <c r="A22" s="54">
        <f>'Consolidated KPI'!N1</f>
        <v>46110</v>
      </c>
      <c r="B22" s="53">
        <f>IF($B$3="All Games",'Consolidated KPI'!N2+'Consolidated KPI'!N6+'Consolidated KPI'!N10+'Consolidated KPI'!N14,IF($B$3="Taival",'Consolidated KPI'!N2,IF($B$3="Colossus",'Consolidated KPI'!N6,IF($B$3="Putania's Purgatory",'Consolidated KPI'!N10,IF($B$3="Fleet Breakers",'Consolidated KPI'!N14,"")))))</f>
        <v>148</v>
      </c>
      <c r="C22" s="53">
        <f>IF($B$3="All Games",'Consolidated KPI'!N2,"")</f>
        <v>27</v>
      </c>
      <c r="D22" s="53">
        <f>IF($B$3="All Games",'Consolidated KPI'!N6,"")</f>
        <v>106</v>
      </c>
      <c r="E22" s="53">
        <f>IF($B$3="All Games",'Consolidated KPI'!N10,"")</f>
        <v>17</v>
      </c>
      <c r="F22" s="53">
        <f>IF($B$3="All Games",'Consolidated KPI'!N14,"")</f>
        <v>-2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spans="1:69">
      <c r="A23" s="54">
        <f>'Consolidated KPI'!O1</f>
        <v>46117</v>
      </c>
      <c r="B23" s="53">
        <f>IF($B$3="All Games",'Consolidated KPI'!O2+'Consolidated KPI'!O6+'Consolidated KPI'!O10+'Consolidated KPI'!O14,IF($B$3="Taival",'Consolidated KPI'!O2,IF($B$3="Colossus",'Consolidated KPI'!O6,IF($B$3="Putania's Purgatory",'Consolidated KPI'!O10,IF($B$3="Fleet Breakers",'Consolidated KPI'!O14,"")))))</f>
        <v>381</v>
      </c>
      <c r="C23" s="53">
        <f>IF($B$3="All Games",'Consolidated KPI'!O2,"")</f>
        <v>249</v>
      </c>
      <c r="D23" s="53">
        <f>IF($B$3="All Games",'Consolidated KPI'!O6,"")</f>
        <v>83</v>
      </c>
      <c r="E23" s="53">
        <f>IF($B$3="All Games",'Consolidated KPI'!O10,"")</f>
        <v>41</v>
      </c>
      <c r="F23" s="53">
        <f>IF($B$3="All Games",'Consolidated KPI'!O14,"")</f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spans="1:69">
      <c r="A24" s="54">
        <f>'Consolidated KPI'!P1</f>
        <v>46124</v>
      </c>
      <c r="B24" s="53">
        <f>IF($B$3="All Games",'Consolidated KPI'!P2+'Consolidated KPI'!P6+'Consolidated KPI'!P10+'Consolidated KPI'!P14,IF($B$3="Taival",'Consolidated KPI'!P2,IF($B$3="Colossus",'Consolidated KPI'!P6,IF($B$3="Putania's Purgatory",'Consolidated KPI'!P10,IF($B$3="Fleet Breakers",'Consolidated KPI'!P14,"")))))</f>
        <v>498</v>
      </c>
      <c r="C24" s="53">
        <f>IF($B$3="All Games",'Consolidated KPI'!P2,"")</f>
        <v>363</v>
      </c>
      <c r="D24" s="53">
        <f>IF($B$3="All Games",'Consolidated KPI'!P6,"")</f>
        <v>92</v>
      </c>
      <c r="E24" s="53">
        <f>IF($B$3="All Games",'Consolidated KPI'!P10,"")</f>
        <v>35</v>
      </c>
      <c r="F24" s="53">
        <f>IF($B$3="All Games",'Consolidated KPI'!P14,"")</f>
        <v>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spans="1:69">
      <c r="A25" s="54">
        <f>'Consolidated KPI'!Q1</f>
        <v>46131</v>
      </c>
      <c r="B25" s="53">
        <f>IF($B$3="All Games",'Consolidated KPI'!Q2+'Consolidated KPI'!Q6+'Consolidated KPI'!Q10+'Consolidated KPI'!Q14,IF($B$3="Taival",'Consolidated KPI'!Q2,IF($B$3="Colossus",'Consolidated KPI'!Q6,IF($B$3="Putania's Purgatory",'Consolidated KPI'!Q10,IF($B$3="Fleet Breakers",'Consolidated KPI'!Q14,"")))))</f>
        <v>987</v>
      </c>
      <c r="C25" s="53">
        <f>IF($B$3="All Games",'Consolidated KPI'!Q2,"")</f>
        <v>668</v>
      </c>
      <c r="D25" s="53">
        <f>IF($B$3="All Games",'Consolidated KPI'!Q6,"")</f>
        <v>295</v>
      </c>
      <c r="E25" s="53">
        <f>IF($B$3="All Games",'Consolidated KPI'!Q10,"")</f>
        <v>28</v>
      </c>
      <c r="F25" s="53">
        <f>IF($B$3="All Games",'Consolidated KPI'!Q14,"")</f>
        <v>-4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spans="1:6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spans="1:6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spans="1:6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spans="1:6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spans="1:69" ht="18.75">
      <c r="A30" s="51" t="s">
        <v>111</v>
      </c>
      <c r="B30" s="1"/>
      <c r="C30" s="1"/>
      <c r="D30" s="1"/>
      <c r="E30" s="1"/>
      <c r="F30" s="6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spans="1:69">
      <c r="A31" s="59" t="s">
        <v>110</v>
      </c>
      <c r="B31" s="60" t="str">
        <f>IF($B$3="All Games","All Games",$B$3)</f>
        <v>All Games</v>
      </c>
      <c r="C31" s="61" t="str">
        <f>IF($B$3="All Games","Taival","")</f>
        <v>Taival</v>
      </c>
      <c r="D31" s="61" t="str">
        <f>IF($B$3="All Games","Colossus","")</f>
        <v>Colossus</v>
      </c>
      <c r="E31" s="61" t="str">
        <f>IF($B$3="All Games","Putania's Purgatory","")</f>
        <v>Putania's Purgatory</v>
      </c>
      <c r="F31" s="62" t="str">
        <f>IF($B$3="All Games","Fleet Breakers","")</f>
        <v>Fleet Breakers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spans="1:69">
      <c r="A32" s="54">
        <f>'Consolidated KPI'!B1</f>
        <v>46026</v>
      </c>
      <c r="B32" s="53">
        <f>IF($B$3="All Games",'Consolidated KPI'!B3+'Consolidated KPI'!B7+'Consolidated KPI'!B11+'Consolidated KPI'!B15,IF($B$3="Taival",'Consolidated KPI'!B3,IF($B$3="Colossus",'Consolidated KPI'!B7,IF($B$3="Putania's Purgatory",'Consolidated KPI'!B11,IF($B$3="Fleet Breakers",'Consolidated KPI'!B15,"")))))</f>
        <v>15037</v>
      </c>
      <c r="C32" s="53">
        <f>IF($B$3="All Games",'Consolidated KPI'!B3,"")</f>
        <v>5095</v>
      </c>
      <c r="D32" s="53">
        <f>IF($B$3="All Games",'Consolidated KPI'!B7,"")</f>
        <v>1568</v>
      </c>
      <c r="E32" s="53">
        <f>IF($B$3="All Games",'Consolidated KPI'!B11,"")</f>
        <v>3279</v>
      </c>
      <c r="F32" s="53">
        <f>IF($B$3="All Games",'Consolidated KPI'!B15,"")</f>
        <v>5095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spans="1:69">
      <c r="A33" s="54">
        <f>'Consolidated KPI'!C1</f>
        <v>46033</v>
      </c>
      <c r="B33" s="53">
        <f>IF($B$3="All Games",'Consolidated KPI'!C3+'Consolidated KPI'!C7+'Consolidated KPI'!C11+'Consolidated KPI'!C15,IF($B$3="Taival",'Consolidated KPI'!C3,IF($B$3="Colossus",'Consolidated KPI'!C7,IF($B$3="Putania's Purgatory",'Consolidated KPI'!C11,IF($B$3="Fleet Breakers",'Consolidated KPI'!C15,"")))))</f>
        <v>19377</v>
      </c>
      <c r="C33" s="53">
        <f>IF($B$3="All Games",'Consolidated KPI'!C3,"")</f>
        <v>6399</v>
      </c>
      <c r="D33" s="53">
        <f>IF($B$3="All Games",'Consolidated KPI'!C7,"")</f>
        <v>1879</v>
      </c>
      <c r="E33" s="53">
        <f>IF($B$3="All Games",'Consolidated KPI'!C11,"")</f>
        <v>4700</v>
      </c>
      <c r="F33" s="53">
        <f>IF($B$3="All Games",'Consolidated KPI'!C15,"")</f>
        <v>6399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spans="1:69">
      <c r="A34" s="54">
        <f>'Consolidated KPI'!D1</f>
        <v>46040</v>
      </c>
      <c r="B34" s="53">
        <f>IF($B$3="All Games",'Consolidated KPI'!D3+'Consolidated KPI'!D7+'Consolidated KPI'!D11+'Consolidated KPI'!D15,IF($B$3="Taival",'Consolidated KPI'!D3,IF($B$3="Colossus",'Consolidated KPI'!D7,IF($B$3="Putania's Purgatory",'Consolidated KPI'!D11,IF($B$3="Fleet Breakers",'Consolidated KPI'!D15,"")))))</f>
        <v>16576</v>
      </c>
      <c r="C34" s="53">
        <f>IF($B$3="All Games",'Consolidated KPI'!D3,"")</f>
        <v>5490</v>
      </c>
      <c r="D34" s="53">
        <f>IF($B$3="All Games",'Consolidated KPI'!D7,"")</f>
        <v>2210</v>
      </c>
      <c r="E34" s="53">
        <f>IF($B$3="All Games",'Consolidated KPI'!D11,"")</f>
        <v>3386</v>
      </c>
      <c r="F34" s="53">
        <f>IF($B$3="All Games",'Consolidated KPI'!D15,"")</f>
        <v>5490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spans="1:69">
      <c r="A35" s="54">
        <f>'Consolidated KPI'!E1</f>
        <v>46047</v>
      </c>
      <c r="B35" s="53">
        <f>IF($B$3="All Games",'Consolidated KPI'!E3+'Consolidated KPI'!E7+'Consolidated KPI'!E11+'Consolidated KPI'!E15,IF($B$3="Taival",'Consolidated KPI'!E3,IF($B$3="Colossus",'Consolidated KPI'!E7,IF($B$3="Putania's Purgatory",'Consolidated KPI'!E11,IF($B$3="Fleet Breakers",'Consolidated KPI'!E15,"")))))</f>
        <v>15842</v>
      </c>
      <c r="C35" s="53">
        <f>IF($B$3="All Games",'Consolidated KPI'!E3,"")</f>
        <v>5392</v>
      </c>
      <c r="D35" s="53">
        <f>IF($B$3="All Games",'Consolidated KPI'!E7,"")</f>
        <v>2066</v>
      </c>
      <c r="E35" s="53">
        <f>IF($B$3="All Games",'Consolidated KPI'!E11,"")</f>
        <v>2992</v>
      </c>
      <c r="F35" s="53">
        <f>IF($B$3="All Games",'Consolidated KPI'!E15,"")</f>
        <v>5392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spans="1:69">
      <c r="A36" s="54">
        <f>'Consolidated KPI'!F1</f>
        <v>46054</v>
      </c>
      <c r="B36" s="53">
        <f>IF($B$3="All Games",'Consolidated KPI'!F3+'Consolidated KPI'!F7+'Consolidated KPI'!F11+'Consolidated KPI'!F15,IF($B$3="Taival",'Consolidated KPI'!F3,IF($B$3="Colossus",'Consolidated KPI'!F7,IF($B$3="Putania's Purgatory",'Consolidated KPI'!F11,IF($B$3="Fleet Breakers",'Consolidated KPI'!F15,"")))))</f>
        <v>16719</v>
      </c>
      <c r="C36" s="53">
        <f>IF($B$3="All Games",'Consolidated KPI'!F3,"")</f>
        <v>5225</v>
      </c>
      <c r="D36" s="53">
        <f>IF($B$3="All Games",'Consolidated KPI'!F7,"")</f>
        <v>3259</v>
      </c>
      <c r="E36" s="53">
        <f>IF($B$3="All Games",'Consolidated KPI'!F11,"")</f>
        <v>3010</v>
      </c>
      <c r="F36" s="53">
        <f>IF($B$3="All Games",'Consolidated KPI'!F15,"")</f>
        <v>5225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spans="1:69">
      <c r="A37" s="54">
        <f>'Consolidated KPI'!G1</f>
        <v>46061</v>
      </c>
      <c r="B37" s="53">
        <f>IF($B$3="All Games",'Consolidated KPI'!G3+'Consolidated KPI'!G7+'Consolidated KPI'!G11+'Consolidated KPI'!G15,IF($B$3="Taival",'Consolidated KPI'!G3,IF($B$3="Colossus",'Consolidated KPI'!G7,IF($B$3="Putania's Purgatory",'Consolidated KPI'!G11,IF($B$3="Fleet Breakers",'Consolidated KPI'!G15,"")))))</f>
        <v>15210</v>
      </c>
      <c r="C37" s="53">
        <f>IF($B$3="All Games",'Consolidated KPI'!G3,"")</f>
        <v>4806</v>
      </c>
      <c r="D37" s="53">
        <f>IF($B$3="All Games",'Consolidated KPI'!G7,"")</f>
        <v>2320</v>
      </c>
      <c r="E37" s="53">
        <f>IF($B$3="All Games",'Consolidated KPI'!G11,"")</f>
        <v>3278</v>
      </c>
      <c r="F37" s="53">
        <f>IF($B$3="All Games",'Consolidated KPI'!G15,"")</f>
        <v>4806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spans="1:69">
      <c r="A38" s="54">
        <f>'Consolidated KPI'!H1</f>
        <v>46068</v>
      </c>
      <c r="B38" s="53">
        <f>IF($B$3="All Games",'Consolidated KPI'!H3+'Consolidated KPI'!H7+'Consolidated KPI'!H11+'Consolidated KPI'!H15,IF($B$3="Taival",'Consolidated KPI'!H3,IF($B$3="Colossus",'Consolidated KPI'!H7,IF($B$3="Putania's Purgatory",'Consolidated KPI'!H11,IF($B$3="Fleet Breakers",'Consolidated KPI'!H15,"")))))</f>
        <v>15068</v>
      </c>
      <c r="C38" s="53">
        <f>IF($B$3="All Games",'Consolidated KPI'!H3,"")</f>
        <v>4560</v>
      </c>
      <c r="D38" s="53">
        <f>IF($B$3="All Games",'Consolidated KPI'!H7,"")</f>
        <v>2324</v>
      </c>
      <c r="E38" s="53">
        <f>IF($B$3="All Games",'Consolidated KPI'!H11,"")</f>
        <v>3624</v>
      </c>
      <c r="F38" s="53">
        <f>IF($B$3="All Games",'Consolidated KPI'!H15,"")</f>
        <v>4560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spans="1:69">
      <c r="A39" s="54">
        <f>'Consolidated KPI'!I1</f>
        <v>46075</v>
      </c>
      <c r="B39" s="53">
        <f>IF($B$3="All Games",'Consolidated KPI'!I3+'Consolidated KPI'!I7+'Consolidated KPI'!I11+'Consolidated KPI'!I15,IF($B$3="Taival",'Consolidated KPI'!I3,IF($B$3="Colossus",'Consolidated KPI'!I7,IF($B$3="Putania's Purgatory",'Consolidated KPI'!I11,IF($B$3="Fleet Breakers",'Consolidated KPI'!I15,"")))))</f>
        <v>14616</v>
      </c>
      <c r="C39" s="53">
        <f>IF($B$3="All Games",'Consolidated KPI'!I3,"")</f>
        <v>4282</v>
      </c>
      <c r="D39" s="53">
        <f>IF($B$3="All Games",'Consolidated KPI'!I7,"")</f>
        <v>2304</v>
      </c>
      <c r="E39" s="53">
        <f>IF($B$3="All Games",'Consolidated KPI'!I11,"")</f>
        <v>3748</v>
      </c>
      <c r="F39" s="53">
        <f>IF($B$3="All Games",'Consolidated KPI'!I15,"")</f>
        <v>4282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spans="1:69">
      <c r="A40" s="54">
        <f>'Consolidated KPI'!J1</f>
        <v>46082</v>
      </c>
      <c r="B40" s="53">
        <f>IF($B$3="All Games",'Consolidated KPI'!J3+'Consolidated KPI'!J7+'Consolidated KPI'!J11+'Consolidated KPI'!J15,IF($B$3="Taival",'Consolidated KPI'!J3,IF($B$3="Colossus",'Consolidated KPI'!J7,IF($B$3="Putania's Purgatory",'Consolidated KPI'!J11,IF($B$3="Fleet Breakers",'Consolidated KPI'!J15,"")))))</f>
        <v>165282</v>
      </c>
      <c r="C40" s="53">
        <f>IF($B$3="All Games",'Consolidated KPI'!J3,"")</f>
        <v>5673</v>
      </c>
      <c r="D40" s="53">
        <f>IF($B$3="All Games",'Consolidated KPI'!J7,"")</f>
        <v>2222</v>
      </c>
      <c r="E40" s="53">
        <f>IF($B$3="All Games",'Consolidated KPI'!J11,"")</f>
        <v>153264</v>
      </c>
      <c r="F40" s="53">
        <f>IF($B$3="All Games",'Consolidated KPI'!J15,"")</f>
        <v>4123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spans="1:69">
      <c r="A41" s="54">
        <f>'Consolidated KPI'!K1</f>
        <v>46089</v>
      </c>
      <c r="B41" s="53">
        <f>IF($B$3="All Games",'Consolidated KPI'!K3+'Consolidated KPI'!K7+'Consolidated KPI'!K11+'Consolidated KPI'!K15,IF($B$3="Taival",'Consolidated KPI'!K3,IF($B$3="Colossus",'Consolidated KPI'!K7,IF($B$3="Putania's Purgatory",'Consolidated KPI'!K11,IF($B$3="Fleet Breakers",'Consolidated KPI'!K15,"")))))</f>
        <v>26326</v>
      </c>
      <c r="C41" s="53">
        <f>IF($B$3="All Games",'Consolidated KPI'!K3,"")</f>
        <v>3043</v>
      </c>
      <c r="D41" s="53">
        <f>IF($B$3="All Games",'Consolidated KPI'!K7,"")</f>
        <v>1967</v>
      </c>
      <c r="E41" s="53">
        <f>IF($B$3="All Games",'Consolidated KPI'!K11,"")</f>
        <v>16940</v>
      </c>
      <c r="F41" s="53">
        <f>IF($B$3="All Games",'Consolidated KPI'!K15,"")</f>
        <v>4376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spans="1:69">
      <c r="A42" s="54">
        <f>'Consolidated KPI'!L1</f>
        <v>46096</v>
      </c>
      <c r="B42" s="53">
        <f>IF($B$3="All Games",'Consolidated KPI'!L3+'Consolidated KPI'!L7+'Consolidated KPI'!L11+'Consolidated KPI'!L15,IF($B$3="Taival",'Consolidated KPI'!L3,IF($B$3="Colossus",'Consolidated KPI'!L7,IF($B$3="Putania's Purgatory",'Consolidated KPI'!L11,IF($B$3="Fleet Breakers",'Consolidated KPI'!L15,"")))))</f>
        <v>16858</v>
      </c>
      <c r="C42" s="53">
        <f>IF($B$3="All Games",'Consolidated KPI'!L3,"")</f>
        <v>3184</v>
      </c>
      <c r="D42" s="53">
        <f>IF($B$3="All Games",'Consolidated KPI'!L7,"")</f>
        <v>4553</v>
      </c>
      <c r="E42" s="53">
        <f>IF($B$3="All Games",'Consolidated KPI'!L11,"")</f>
        <v>5171</v>
      </c>
      <c r="F42" s="53">
        <f>IF($B$3="All Games",'Consolidated KPI'!L15,"")</f>
        <v>3950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spans="1:69">
      <c r="A43" s="54">
        <f>'Consolidated KPI'!M1</f>
        <v>46103</v>
      </c>
      <c r="B43" s="53">
        <f>IF($B$3="All Games",'Consolidated KPI'!M3+'Consolidated KPI'!M7+'Consolidated KPI'!M11+'Consolidated KPI'!M15,IF($B$3="Taival",'Consolidated KPI'!M3,IF($B$3="Colossus",'Consolidated KPI'!M7,IF($B$3="Putania's Purgatory",'Consolidated KPI'!M11,IF($B$3="Fleet Breakers",'Consolidated KPI'!M15,"")))))</f>
        <v>19301</v>
      </c>
      <c r="C43" s="53">
        <f>IF($B$3="All Games",'Consolidated KPI'!M3,"")</f>
        <v>3803</v>
      </c>
      <c r="D43" s="53">
        <f>IF($B$3="All Games",'Consolidated KPI'!M7,"")</f>
        <v>6425</v>
      </c>
      <c r="E43" s="53">
        <f>IF($B$3="All Games",'Consolidated KPI'!M11,"")</f>
        <v>3906</v>
      </c>
      <c r="F43" s="53">
        <f>IF($B$3="All Games",'Consolidated KPI'!M15,"")</f>
        <v>5167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spans="1:69">
      <c r="A44" s="54">
        <f>'Consolidated KPI'!N1</f>
        <v>46110</v>
      </c>
      <c r="B44" s="53">
        <f>IF($B$3="All Games",'Consolidated KPI'!N3+'Consolidated KPI'!N7+'Consolidated KPI'!N11+'Consolidated KPI'!N15,IF($B$3="Taival",'Consolidated KPI'!N3,IF($B$3="Colossus",'Consolidated KPI'!N7,IF($B$3="Putania's Purgatory",'Consolidated KPI'!N11,IF($B$3="Fleet Breakers",'Consolidated KPI'!N15,"")))))</f>
        <v>16428</v>
      </c>
      <c r="C44" s="53">
        <f>IF($B$3="All Games",'Consolidated KPI'!N3,"")</f>
        <v>3196</v>
      </c>
      <c r="D44" s="53">
        <f>IF($B$3="All Games",'Consolidated KPI'!N7,"")</f>
        <v>5374</v>
      </c>
      <c r="E44" s="53">
        <f>IF($B$3="All Games",'Consolidated KPI'!N11,"")</f>
        <v>3455</v>
      </c>
      <c r="F44" s="53">
        <f>IF($B$3="All Games",'Consolidated KPI'!N15,"")</f>
        <v>4403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spans="1:69">
      <c r="A45" s="54">
        <f>'Consolidated KPI'!O1</f>
        <v>46117</v>
      </c>
      <c r="B45" s="53">
        <f>IF($B$3="All Games",'Consolidated KPI'!O3+'Consolidated KPI'!O7+'Consolidated KPI'!O11+'Consolidated KPI'!O15,IF($B$3="Taival",'Consolidated KPI'!O3,IF($B$3="Colossus",'Consolidated KPI'!O7,IF($B$3="Putania's Purgatory",'Consolidated KPI'!O11,IF($B$3="Fleet Breakers",'Consolidated KPI'!O15,"")))))</f>
        <v>14344</v>
      </c>
      <c r="C45" s="53">
        <f>IF($B$3="All Games",'Consolidated KPI'!O3,"")</f>
        <v>3697</v>
      </c>
      <c r="D45" s="53">
        <f>IF($B$3="All Games",'Consolidated KPI'!O7,"")</f>
        <v>3631</v>
      </c>
      <c r="E45" s="53">
        <f>IF($B$3="All Games",'Consolidated KPI'!O11,"")</f>
        <v>3364</v>
      </c>
      <c r="F45" s="53">
        <f>IF($B$3="All Games",'Consolidated KPI'!O15,"")</f>
        <v>3652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spans="1:69">
      <c r="A46" s="54">
        <f>'Consolidated KPI'!P1</f>
        <v>46124</v>
      </c>
      <c r="B46" s="53">
        <f>IF($B$3="All Games",'Consolidated KPI'!P3+'Consolidated KPI'!P7+'Consolidated KPI'!P11+'Consolidated KPI'!P15,IF($B$3="Taival",'Consolidated KPI'!P3,IF($B$3="Colossus",'Consolidated KPI'!P7,IF($B$3="Putania's Purgatory",'Consolidated KPI'!P11,IF($B$3="Fleet Breakers",'Consolidated KPI'!P15,"")))))</f>
        <v>15511</v>
      </c>
      <c r="C46" s="53">
        <f>IF($B$3="All Games",'Consolidated KPI'!P3,"")</f>
        <v>4970</v>
      </c>
      <c r="D46" s="53">
        <f>IF($B$3="All Games",'Consolidated KPI'!P7,"")</f>
        <v>3253</v>
      </c>
      <c r="E46" s="53">
        <f>IF($B$3="All Games",'Consolidated KPI'!P11,"")</f>
        <v>3463</v>
      </c>
      <c r="F46" s="53">
        <f>IF($B$3="All Games",'Consolidated KPI'!P15,"")</f>
        <v>3825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spans="1:69">
      <c r="A47" s="54">
        <f>'Consolidated KPI'!Q1</f>
        <v>46131</v>
      </c>
      <c r="B47" s="53">
        <f>IF($B$3="All Games",'Consolidated KPI'!Q3+'Consolidated KPI'!Q7+'Consolidated KPI'!Q11+'Consolidated KPI'!Q15,IF($B$3="Taival",'Consolidated KPI'!Q3,IF($B$3="Colossus",'Consolidated KPI'!Q7,IF($B$3="Putania's Purgatory",'Consolidated KPI'!Q11,IF($B$3="Fleet Breakers",'Consolidated KPI'!Q15,"")))))</f>
        <v>36934</v>
      </c>
      <c r="C47" s="53">
        <f>IF($B$3="All Games",'Consolidated KPI'!Q3,"")</f>
        <v>14388</v>
      </c>
      <c r="D47" s="53">
        <f>IF($B$3="All Games",'Consolidated KPI'!Q7,"")</f>
        <v>14258</v>
      </c>
      <c r="E47" s="53">
        <f>IF($B$3="All Games",'Consolidated KPI'!Q11,"")</f>
        <v>2997</v>
      </c>
      <c r="F47" s="53">
        <f>IF($B$3="All Games",'Consolidated KPI'!Q15,"")</f>
        <v>5291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spans="1:69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spans="1:69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spans="1:69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spans="1:69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spans="1:69" ht="18.75">
      <c r="A52" s="51" t="s">
        <v>112</v>
      </c>
      <c r="B52" s="1"/>
      <c r="C52" s="1"/>
      <c r="D52" s="1"/>
      <c r="E52" s="1"/>
      <c r="F52" s="6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spans="1:69">
      <c r="A53" s="64" t="s">
        <v>110</v>
      </c>
      <c r="B53" s="65" t="str">
        <f>IF($B$3="All Games","All Games",$B$3)</f>
        <v>All Games</v>
      </c>
      <c r="C53" s="66" t="str">
        <f>IF($B$3="All Games","Taival","")</f>
        <v>Taival</v>
      </c>
      <c r="D53" s="66" t="str">
        <f>IF($B$3="All Games","Colossus","")</f>
        <v>Colossus</v>
      </c>
      <c r="E53" s="66" t="str">
        <f>IF($B$3="All Games","Putania's Purgatory","")</f>
        <v>Putania's Purgatory</v>
      </c>
      <c r="F53" s="67" t="str">
        <f>IF($B$3="All Games","Fleet Breakers","")</f>
        <v>Fleet Breakers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spans="1:69">
      <c r="A54" s="54">
        <f>'Consolidated KPI'!B1</f>
        <v>46026</v>
      </c>
      <c r="B54" s="53">
        <f>IF($B$3="All Games",'Consolidated KPI'!B4+'Consolidated KPI'!B8+'Consolidated KPI'!B12+'Consolidated KPI'!B16,IF($B$3="Taival",'Consolidated KPI'!B4,IF($B$3="Colossus",'Consolidated KPI'!B8,IF($B$3="Putania's Purgatory",'Consolidated KPI'!B12,IF($B$3="Fleet Breakers",'Consolidated KPI'!B16,"")))))</f>
        <v>4151</v>
      </c>
      <c r="C54" s="53">
        <f>IF($B$3="All Games",'Consolidated KPI'!B4,"")</f>
        <v>1107</v>
      </c>
      <c r="D54" s="53">
        <f>IF($B$3="All Games",'Consolidated KPI'!B8,"")</f>
        <v>424</v>
      </c>
      <c r="E54" s="53">
        <f>IF($B$3="All Games",'Consolidated KPI'!B12,"")</f>
        <v>1513</v>
      </c>
      <c r="F54" s="53">
        <f>IF($B$3="All Games",'Consolidated KPI'!B16,"")</f>
        <v>1107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spans="1:69">
      <c r="A55" s="54">
        <f>'Consolidated KPI'!C1</f>
        <v>46033</v>
      </c>
      <c r="B55" s="53">
        <f>IF($B$3="All Games",'Consolidated KPI'!C4+'Consolidated KPI'!C8+'Consolidated KPI'!C12+'Consolidated KPI'!C16,IF($B$3="Taival",'Consolidated KPI'!C4,IF($B$3="Colossus",'Consolidated KPI'!C8,IF($B$3="Putania's Purgatory",'Consolidated KPI'!C12,IF($B$3="Fleet Breakers",'Consolidated KPI'!C16,"")))))</f>
        <v>5613</v>
      </c>
      <c r="C55" s="53">
        <f>IF($B$3="All Games",'Consolidated KPI'!C4,"")</f>
        <v>2049</v>
      </c>
      <c r="D55" s="53">
        <f>IF($B$3="All Games",'Consolidated KPI'!C8,"")</f>
        <v>682</v>
      </c>
      <c r="E55" s="53">
        <f>IF($B$3="All Games",'Consolidated KPI'!C12,"")</f>
        <v>833</v>
      </c>
      <c r="F55" s="53">
        <f>IF($B$3="All Games",'Consolidated KPI'!C16,"")</f>
        <v>2049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spans="1:69">
      <c r="A56" s="54">
        <f>'Consolidated KPI'!D1</f>
        <v>46040</v>
      </c>
      <c r="B56" s="53">
        <f>IF($B$3="All Games",'Consolidated KPI'!D4+'Consolidated KPI'!D8+'Consolidated KPI'!D12+'Consolidated KPI'!D16,IF($B$3="Taival",'Consolidated KPI'!D4,IF($B$3="Colossus",'Consolidated KPI'!D8,IF($B$3="Putania's Purgatory",'Consolidated KPI'!D12,IF($B$3="Fleet Breakers",'Consolidated KPI'!D16,"")))))</f>
        <v>4648</v>
      </c>
      <c r="C56" s="53">
        <f>IF($B$3="All Games",'Consolidated KPI'!D4,"")</f>
        <v>1631</v>
      </c>
      <c r="D56" s="53">
        <f>IF($B$3="All Games",'Consolidated KPI'!D8,"")</f>
        <v>591</v>
      </c>
      <c r="E56" s="53">
        <f>IF($B$3="All Games",'Consolidated KPI'!D12,"")</f>
        <v>795</v>
      </c>
      <c r="F56" s="53">
        <f>IF($B$3="All Games",'Consolidated KPI'!D16,"")</f>
        <v>1631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spans="1:69">
      <c r="A57" s="54">
        <f>'Consolidated KPI'!E1</f>
        <v>46047</v>
      </c>
      <c r="B57" s="53">
        <f>IF($B$3="All Games",'Consolidated KPI'!E4+'Consolidated KPI'!E8+'Consolidated KPI'!E12+'Consolidated KPI'!E16,IF($B$3="Taival",'Consolidated KPI'!E4,IF($B$3="Colossus",'Consolidated KPI'!E8,IF($B$3="Putania's Purgatory",'Consolidated KPI'!E12,IF($B$3="Fleet Breakers",'Consolidated KPI'!E16,"")))))</f>
        <v>3233</v>
      </c>
      <c r="C57" s="53">
        <f>IF($B$3="All Games",'Consolidated KPI'!E4,"")</f>
        <v>889</v>
      </c>
      <c r="D57" s="53">
        <f>IF($B$3="All Games",'Consolidated KPI'!E8,"")</f>
        <v>765</v>
      </c>
      <c r="E57" s="53">
        <f>IF($B$3="All Games",'Consolidated KPI'!E12,"")</f>
        <v>690</v>
      </c>
      <c r="F57" s="53">
        <f>IF($B$3="All Games",'Consolidated KPI'!E16,"")</f>
        <v>889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spans="1:69">
      <c r="A58" s="54">
        <f>'Consolidated KPI'!F1</f>
        <v>46054</v>
      </c>
      <c r="B58" s="53">
        <f>IF($B$3="All Games",'Consolidated KPI'!F4+'Consolidated KPI'!F8+'Consolidated KPI'!F12+'Consolidated KPI'!F16,IF($B$3="Taival",'Consolidated KPI'!F4,IF($B$3="Colossus",'Consolidated KPI'!F8,IF($B$3="Putania's Purgatory",'Consolidated KPI'!F12,IF($B$3="Fleet Breakers",'Consolidated KPI'!F16,"")))))</f>
        <v>3515</v>
      </c>
      <c r="C58" s="53">
        <f>IF($B$3="All Games",'Consolidated KPI'!F4,"")</f>
        <v>726</v>
      </c>
      <c r="D58" s="53">
        <f>IF($B$3="All Games",'Consolidated KPI'!F8,"")</f>
        <v>1007</v>
      </c>
      <c r="E58" s="53">
        <f>IF($B$3="All Games",'Consolidated KPI'!F12,"")</f>
        <v>1056</v>
      </c>
      <c r="F58" s="53">
        <f>IF($B$3="All Games",'Consolidated KPI'!F16,"")</f>
        <v>726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spans="1:69">
      <c r="A59" s="54">
        <f>'Consolidated KPI'!G1</f>
        <v>46061</v>
      </c>
      <c r="B59" s="53">
        <f>IF($B$3="All Games",'Consolidated KPI'!G4+'Consolidated KPI'!G8+'Consolidated KPI'!G12+'Consolidated KPI'!G16,IF($B$3="Taival",'Consolidated KPI'!G4,IF($B$3="Colossus",'Consolidated KPI'!G8,IF($B$3="Putania's Purgatory",'Consolidated KPI'!G12,IF($B$3="Fleet Breakers",'Consolidated KPI'!G16,"")))))</f>
        <v>3093</v>
      </c>
      <c r="C59" s="53">
        <f>IF($B$3="All Games",'Consolidated KPI'!G4,"")</f>
        <v>705</v>
      </c>
      <c r="D59" s="53">
        <f>IF($B$3="All Games",'Consolidated KPI'!G8,"")</f>
        <v>798</v>
      </c>
      <c r="E59" s="53">
        <f>IF($B$3="All Games",'Consolidated KPI'!G12,"")</f>
        <v>885</v>
      </c>
      <c r="F59" s="53">
        <f>IF($B$3="All Games",'Consolidated KPI'!G16,"")</f>
        <v>705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spans="1:69">
      <c r="A60" s="54">
        <f>'Consolidated KPI'!H1</f>
        <v>46068</v>
      </c>
      <c r="B60" s="53">
        <f>IF($B$3="All Games",'Consolidated KPI'!H4+'Consolidated KPI'!H8+'Consolidated KPI'!H12+'Consolidated KPI'!H16,IF($B$3="Taival",'Consolidated KPI'!H4,IF($B$3="Colossus",'Consolidated KPI'!H8,IF($B$3="Putania's Purgatory",'Consolidated KPI'!H12,IF($B$3="Fleet Breakers",'Consolidated KPI'!H16,"")))))</f>
        <v>3576</v>
      </c>
      <c r="C60" s="53">
        <f>IF($B$3="All Games",'Consolidated KPI'!H4,"")</f>
        <v>769</v>
      </c>
      <c r="D60" s="53">
        <f>IF($B$3="All Games",'Consolidated KPI'!H8,"")</f>
        <v>912</v>
      </c>
      <c r="E60" s="53">
        <f>IF($B$3="All Games",'Consolidated KPI'!H12,"")</f>
        <v>1126</v>
      </c>
      <c r="F60" s="53">
        <f>IF($B$3="All Games",'Consolidated KPI'!H16,"")</f>
        <v>769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spans="1:69">
      <c r="A61" s="54">
        <f>'Consolidated KPI'!I1</f>
        <v>46075</v>
      </c>
      <c r="B61" s="53">
        <f>IF($B$3="All Games",'Consolidated KPI'!I4+'Consolidated KPI'!I8+'Consolidated KPI'!I12+'Consolidated KPI'!I16,IF($B$3="Taival",'Consolidated KPI'!I4,IF($B$3="Colossus",'Consolidated KPI'!I8,IF($B$3="Putania's Purgatory",'Consolidated KPI'!I12,IF($B$3="Fleet Breakers",'Consolidated KPI'!I16,"")))))</f>
        <v>3146</v>
      </c>
      <c r="C61" s="53">
        <f>IF($B$3="All Games",'Consolidated KPI'!I4,"")</f>
        <v>704</v>
      </c>
      <c r="D61" s="53">
        <f>IF($B$3="All Games",'Consolidated KPI'!I8,"")</f>
        <v>832</v>
      </c>
      <c r="E61" s="53">
        <f>IF($B$3="All Games",'Consolidated KPI'!I12,"")</f>
        <v>906</v>
      </c>
      <c r="F61" s="53">
        <f>IF($B$3="All Games",'Consolidated KPI'!I16,"")</f>
        <v>704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spans="1:69">
      <c r="A62" s="54">
        <f>'Consolidated KPI'!J1</f>
        <v>46082</v>
      </c>
      <c r="B62" s="53">
        <f>IF($B$3="All Games",'Consolidated KPI'!J4+'Consolidated KPI'!J8+'Consolidated KPI'!J12+'Consolidated KPI'!J16,IF($B$3="Taival",'Consolidated KPI'!J4,IF($B$3="Colossus",'Consolidated KPI'!J8,IF($B$3="Putania's Purgatory",'Consolidated KPI'!J12,IF($B$3="Fleet Breakers",'Consolidated KPI'!J16,"")))))</f>
        <v>8015</v>
      </c>
      <c r="C62" s="53">
        <f>IF($B$3="All Games",'Consolidated KPI'!J4,"")</f>
        <v>906</v>
      </c>
      <c r="D62" s="53">
        <f>IF($B$3="All Games",'Consolidated KPI'!J8,"")</f>
        <v>959</v>
      </c>
      <c r="E62" s="53">
        <f>IF($B$3="All Games",'Consolidated KPI'!J12,"")</f>
        <v>5244</v>
      </c>
      <c r="F62" s="53">
        <f>IF($B$3="All Games",'Consolidated KPI'!J16,"")</f>
        <v>906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spans="1:69">
      <c r="A63" s="54">
        <f>'Consolidated KPI'!K1</f>
        <v>46089</v>
      </c>
      <c r="B63" s="53">
        <f>IF($B$3="All Games",'Consolidated KPI'!K4+'Consolidated KPI'!K8+'Consolidated KPI'!K12+'Consolidated KPI'!K16,IF($B$3="Taival",'Consolidated KPI'!K4,IF($B$3="Colossus",'Consolidated KPI'!K8,IF($B$3="Putania's Purgatory",'Consolidated KPI'!K12,IF($B$3="Fleet Breakers",'Consolidated KPI'!K16,"")))))</f>
        <v>3902</v>
      </c>
      <c r="C63" s="53">
        <f>IF($B$3="All Games",'Consolidated KPI'!K4,"")</f>
        <v>680</v>
      </c>
      <c r="D63" s="53">
        <f>IF($B$3="All Games",'Consolidated KPI'!K8,"")</f>
        <v>806</v>
      </c>
      <c r="E63" s="53">
        <f>IF($B$3="All Games",'Consolidated KPI'!K12,"")</f>
        <v>1617</v>
      </c>
      <c r="F63" s="53">
        <f>IF($B$3="All Games",'Consolidated KPI'!K16,"")</f>
        <v>799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spans="1:69">
      <c r="A64" s="54">
        <f>'Consolidated KPI'!L1</f>
        <v>46096</v>
      </c>
      <c r="B64" s="53">
        <f>IF($B$3="All Games",'Consolidated KPI'!L4+'Consolidated KPI'!L8+'Consolidated KPI'!L12+'Consolidated KPI'!L16,IF($B$3="Taival",'Consolidated KPI'!L4,IF($B$3="Colossus",'Consolidated KPI'!L8,IF($B$3="Putania's Purgatory",'Consolidated KPI'!L12,IF($B$3="Fleet Breakers",'Consolidated KPI'!L16,"")))))</f>
        <v>3183</v>
      </c>
      <c r="C64" s="53">
        <f>IF($B$3="All Games",'Consolidated KPI'!L4,"")</f>
        <v>507</v>
      </c>
      <c r="D64" s="53">
        <f>IF($B$3="All Games",'Consolidated KPI'!L8,"")</f>
        <v>963</v>
      </c>
      <c r="E64" s="53">
        <f>IF($B$3="All Games",'Consolidated KPI'!L12,"")</f>
        <v>1051</v>
      </c>
      <c r="F64" s="53">
        <f>IF($B$3="All Games",'Consolidated KPI'!L16,"")</f>
        <v>662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spans="1:69">
      <c r="A65" s="54">
        <f>'Consolidated KPI'!M1</f>
        <v>46103</v>
      </c>
      <c r="B65" s="53">
        <f>IF($B$3="All Games",'Consolidated KPI'!M4+'Consolidated KPI'!M8+'Consolidated KPI'!M12+'Consolidated KPI'!M16,IF($B$3="Taival",'Consolidated KPI'!M4,IF($B$3="Colossus",'Consolidated KPI'!M8,IF($B$3="Putania's Purgatory",'Consolidated KPI'!M12,IF($B$3="Fleet Breakers",'Consolidated KPI'!M16,"")))))</f>
        <v>3713</v>
      </c>
      <c r="C65" s="53">
        <f>IF($B$3="All Games",'Consolidated KPI'!M4,"")</f>
        <v>618</v>
      </c>
      <c r="D65" s="53">
        <f>IF($B$3="All Games",'Consolidated KPI'!M8,"")</f>
        <v>1339</v>
      </c>
      <c r="E65" s="53">
        <f>IF($B$3="All Games",'Consolidated KPI'!M12,"")</f>
        <v>1005</v>
      </c>
      <c r="F65" s="53">
        <f>IF($B$3="All Games",'Consolidated KPI'!M16,"")</f>
        <v>751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spans="1:69">
      <c r="A66" s="54">
        <f>'Consolidated KPI'!N1</f>
        <v>46110</v>
      </c>
      <c r="B66" s="53">
        <f>IF($B$3="All Games",'Consolidated KPI'!N4+'Consolidated KPI'!N8+'Consolidated KPI'!N12+'Consolidated KPI'!N16,IF($B$3="Taival",'Consolidated KPI'!N4,IF($B$3="Colossus",'Consolidated KPI'!N8,IF($B$3="Putania's Purgatory",'Consolidated KPI'!N12,IF($B$3="Fleet Breakers",'Consolidated KPI'!N16,"")))))</f>
        <v>7245</v>
      </c>
      <c r="C66" s="53">
        <f>IF($B$3="All Games",'Consolidated KPI'!N4,"")</f>
        <v>595</v>
      </c>
      <c r="D66" s="53">
        <f>IF($B$3="All Games",'Consolidated KPI'!N8,"")</f>
        <v>1046</v>
      </c>
      <c r="E66" s="53">
        <f>IF($B$3="All Games",'Consolidated KPI'!N12,"")</f>
        <v>4897</v>
      </c>
      <c r="F66" s="53">
        <f>IF($B$3="All Games",'Consolidated KPI'!N16,"")</f>
        <v>707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spans="1:69">
      <c r="A67" s="54">
        <f>'Consolidated KPI'!O1</f>
        <v>46117</v>
      </c>
      <c r="B67" s="53">
        <f>IF($B$3="All Games",'Consolidated KPI'!O4+'Consolidated KPI'!O8+'Consolidated KPI'!O12+'Consolidated KPI'!O16,IF($B$3="Taival",'Consolidated KPI'!O4,IF($B$3="Colossus",'Consolidated KPI'!O8,IF($B$3="Putania's Purgatory",'Consolidated KPI'!O12,IF($B$3="Fleet Breakers",'Consolidated KPI'!O16,"")))))</f>
        <v>8728</v>
      </c>
      <c r="C67" s="53">
        <f>IF($B$3="All Games",'Consolidated KPI'!O4,"")</f>
        <v>1276</v>
      </c>
      <c r="D67" s="53">
        <f>IF($B$3="All Games",'Consolidated KPI'!O8,"")</f>
        <v>887</v>
      </c>
      <c r="E67" s="53">
        <f>IF($B$3="All Games",'Consolidated KPI'!O12,"")</f>
        <v>5782</v>
      </c>
      <c r="F67" s="53">
        <f>IF($B$3="All Games",'Consolidated KPI'!O16,"")</f>
        <v>783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spans="1:69">
      <c r="A68" s="54">
        <f>'Consolidated KPI'!P1</f>
        <v>46124</v>
      </c>
      <c r="B68" s="53">
        <f>IF($B$3="All Games",'Consolidated KPI'!P4+'Consolidated KPI'!P8+'Consolidated KPI'!P12+'Consolidated KPI'!P16,IF($B$3="Taival",'Consolidated KPI'!P4,IF($B$3="Colossus",'Consolidated KPI'!P8,IF($B$3="Putania's Purgatory",'Consolidated KPI'!P12,IF($B$3="Fleet Breakers",'Consolidated KPI'!P16,"")))))</f>
        <v>11327</v>
      </c>
      <c r="C68" s="53">
        <f>IF($B$3="All Games",'Consolidated KPI'!P4,"")</f>
        <v>2020</v>
      </c>
      <c r="D68" s="53">
        <f>IF($B$3="All Games",'Consolidated KPI'!P8,"")</f>
        <v>839</v>
      </c>
      <c r="E68" s="53">
        <f>IF($B$3="All Games",'Consolidated KPI'!P12,"")</f>
        <v>7678</v>
      </c>
      <c r="F68" s="53">
        <f>IF($B$3="All Games",'Consolidated KPI'!P16,"")</f>
        <v>790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spans="1:69">
      <c r="A69" s="54">
        <f>'Consolidated KPI'!Q1</f>
        <v>46131</v>
      </c>
      <c r="B69" s="53">
        <f>IF($B$3="All Games",'Consolidated KPI'!Q4+'Consolidated KPI'!Q8+'Consolidated KPI'!Q12+'Consolidated KPI'!Q16,IF($B$3="Taival",'Consolidated KPI'!Q4,IF($B$3="Colossus",'Consolidated KPI'!Q8,IF($B$3="Putania's Purgatory",'Consolidated KPI'!Q12,IF($B$3="Fleet Breakers",'Consolidated KPI'!Q16,"")))))</f>
        <v>9608</v>
      </c>
      <c r="C69" s="53">
        <f>IF($B$3="All Games",'Consolidated KPI'!Q4,"")</f>
        <v>2147</v>
      </c>
      <c r="D69" s="53">
        <f>IF($B$3="All Games",'Consolidated KPI'!Q8,"")</f>
        <v>1232</v>
      </c>
      <c r="E69" s="53">
        <f>IF($B$3="All Games",'Consolidated KPI'!Q12,"")</f>
        <v>5615</v>
      </c>
      <c r="F69" s="53">
        <f>IF($B$3="All Games",'Consolidated KPI'!Q16,"")</f>
        <v>614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spans="1:6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spans="1:6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spans="1:6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spans="1:6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spans="1:6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spans="1:6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spans="1:6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spans="1:6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spans="1:6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spans="1:6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spans="1:6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spans="1:6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spans="1:6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spans="1:6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spans="1:6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spans="1:6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spans="1:6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spans="1:6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spans="1:6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spans="1:6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spans="1:6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spans="1:6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spans="1:6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spans="1:6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spans="1:6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spans="1:6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spans="1:6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spans="1:6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spans="1:6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spans="1:6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spans="1:6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spans="1:6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spans="1:6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spans="1:6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spans="1:6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spans="1:6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spans="1:6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spans="1:6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spans="1:6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spans="1:6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spans="1:6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spans="1:6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spans="1:6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spans="1:6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spans="1:6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spans="1:6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spans="1:6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spans="1:6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spans="1:6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spans="1:6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spans="1:6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spans="1:6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spans="1:6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spans="1:6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spans="1:6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spans="1:6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spans="1:6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spans="1:69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spans="1:69"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spans="18:69"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spans="18:69"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spans="18:69"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spans="18:69"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spans="18:69"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spans="18:69"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spans="18:69"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spans="18:69"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spans="18:69"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spans="18:69"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spans="18:69"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spans="18:69"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spans="18:69"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spans="18:69"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8:69"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8:69"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8:69"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8:69"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8:69"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8:69"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8:69"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8:69"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8:69"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8:69"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8:69"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8:69"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8:69"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8:69"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8:69"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8:69"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8:69"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8:69"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8:69"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8:69"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8:69"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8:69"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8:69"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8:69"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8:69"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8:69"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8:69"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8:69"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8:69"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8:69"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8:69"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8:69"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8:69"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8:69"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8:69"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8:69"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8:69"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8:69"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8:69"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8:69"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8:69"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8:69"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8:69"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8:69"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8:69"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8:69"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8:69"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8:69"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8:69"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8:69"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8:69"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8:69"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8:69"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8:69"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8:69"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8:69"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8:69"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8:69"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8:69"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8:69"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8:69"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8:69"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8:69"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8:69"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8:69"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8:69"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8:69"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8:69"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8:69"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8:69"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8:69"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8:69"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8:69"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8:69"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8:69"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8:69"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8:69"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8:69"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8:69"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8:69"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8:69"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8:69"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8:69"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8:69"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8:69"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8:69"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8:69"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8:69"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8:69"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8:69"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8:69"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8:69"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8:69"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8:69"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8:69"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8:69"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8:69"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8:69"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8:69"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8:69"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8:69"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8:69"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8:69"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8:69"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8:69"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8:69"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8:69"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8:69"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8:69"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8:69"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8:69"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8:69"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8:69"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8:69"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8:69"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8:69"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8:69"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8:69"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8:69"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8:69"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8:69"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8:69"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8:69"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8:69"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8:69"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8:69"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8:69"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8:69"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8:69"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8:69"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8:69"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8:69"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8:69"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8:69"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8:69"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8:69"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8:69"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8:69"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8:69"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8:69"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8:69"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</sheetData>
  <mergeCells count="10">
    <mergeCell ref="G6:H6"/>
    <mergeCell ref="N2:O2"/>
    <mergeCell ref="A1:J1"/>
    <mergeCell ref="A5:B5"/>
    <mergeCell ref="A6:B6"/>
    <mergeCell ref="C5:D5"/>
    <mergeCell ref="C6:D6"/>
    <mergeCell ref="E5:F5"/>
    <mergeCell ref="E6:F6"/>
    <mergeCell ref="G5:H5"/>
  </mergeCells>
  <dataValidations count="1">
    <dataValidation type="list" allowBlank="1" showInputMessage="1" showErrorMessage="1" sqref="B3" xr:uid="{34201CBF-8EF9-4B22-9F0D-027525BA7075}">
      <formula1>$L$1:$L$5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BC708C2A543B4ABFDD679C424F65F0" ma:contentTypeVersion="10" ma:contentTypeDescription="Create a new document." ma:contentTypeScope="" ma:versionID="d60beba30e2a35a9a55231acf1fc7d7f">
  <xsd:schema xmlns:xsd="http://www.w3.org/2001/XMLSchema" xmlns:xs="http://www.w3.org/2001/XMLSchema" xmlns:p="http://schemas.microsoft.com/office/2006/metadata/properties" xmlns:ns3="f9aa1272-fab0-4446-bf20-152253eb2112" targetNamespace="http://schemas.microsoft.com/office/2006/metadata/properties" ma:root="true" ma:fieldsID="9dac8416a100c3898bc78340b22af03d" ns3:_="">
    <xsd:import namespace="f9aa1272-fab0-4446-bf20-152253eb21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a1272-fab0-4446-bf20-152253eb21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aa1272-fab0-4446-bf20-152253eb2112" xsi:nil="true"/>
  </documentManagement>
</p:properties>
</file>

<file path=customXml/itemProps1.xml><?xml version="1.0" encoding="utf-8"?>
<ds:datastoreItem xmlns:ds="http://schemas.openxmlformats.org/officeDocument/2006/customXml" ds:itemID="{D3885470-355B-4790-B09E-70AD8F150871}"/>
</file>

<file path=customXml/itemProps2.xml><?xml version="1.0" encoding="utf-8"?>
<ds:datastoreItem xmlns:ds="http://schemas.openxmlformats.org/officeDocument/2006/customXml" ds:itemID="{99BE31F7-8CE2-4DF2-95EC-B77CC68D542E}"/>
</file>

<file path=customXml/itemProps3.xml><?xml version="1.0" encoding="utf-8"?>
<ds:datastoreItem xmlns:ds="http://schemas.openxmlformats.org/officeDocument/2006/customXml" ds:itemID="{9229A658-525C-4C84-A3CD-70D6E80E8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BigT</dc:creator>
  <cp:keywords/>
  <dc:description/>
  <cp:lastModifiedBy/>
  <cp:revision/>
  <dcterms:created xsi:type="dcterms:W3CDTF">2015-06-05T18:17:20Z</dcterms:created>
  <dcterms:modified xsi:type="dcterms:W3CDTF">2026-05-07T08:43:48Z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0x010100D2BC708C2A543B4ABFDD679C424F65F0</vt:lpwstr>
  </property>
</Properties>
</file>