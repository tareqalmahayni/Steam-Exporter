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7" name="Consolidated KPI" state="visible" r:id="rId4"/>
    <sheet sheetId="1" name="KPI by Quarter" state="visible" r:id="rId5"/>
    <sheet sheetId="2" name="Taival_WL" state="visible" r:id="rId6"/>
    <sheet sheetId="3" name="Colossus - Eternal Blight_WL" state="visible" r:id="rId7"/>
    <sheet sheetId="4" name="Petunia's Purgatory_WL" state="visible" r:id="rId8"/>
    <sheet sheetId="5" name="Fleetbreakers_WL" state="visible" r:id="rId9"/>
    <sheet sheetId="6" name="Dashboard" state="visible" r:id="rId10"/>
    <sheet sheetId="8" name="Validation" state="visible" r:id="rId11"/>
    <sheet sheetId="9" name="Noor_WL" state="visible" r:id="rId12"/>
    <sheet sheetId="10" name="Pull Log" state="visible" r:id="rId13"/>
  </sheets>
  <calcPr calcId="171027"/>
</workbook>
</file>

<file path=xl/sharedStrings.xml><?xml version="1.0" encoding="utf-8"?>
<sst xmlns="http://schemas.openxmlformats.org/spreadsheetml/2006/main" count="2175" uniqueCount="224">
  <si>
    <t>Game</t>
  </si>
  <si>
    <t>Taival - Wishlists</t>
  </si>
  <si>
    <t>Taival - Impressions</t>
  </si>
  <si>
    <t>Taival - Visits</t>
  </si>
  <si>
    <t>Colossus - Wishlists</t>
  </si>
  <si>
    <t>Colossus - Impressions</t>
  </si>
  <si>
    <t>Colossus - Visits</t>
  </si>
  <si>
    <t>Petunia's Purgatory - Wishlists</t>
  </si>
  <si>
    <t>Petunia's Purgatory - Impressions</t>
  </si>
  <si>
    <t>Petunia's Purgatory - Visits</t>
  </si>
  <si>
    <t>Fleet Breakers - Wishlists</t>
  </si>
  <si>
    <t>Fleet Breakers - Impressions</t>
  </si>
  <si>
    <t>Fleet Breakers - Visits</t>
  </si>
  <si>
    <t>Latest WoW%</t>
  </si>
  <si>
    <t>Taival</t>
  </si>
  <si>
    <t>Colossus</t>
  </si>
  <si>
    <t>Putania's Purgatory</t>
  </si>
  <si>
    <t>Fleet Breakers</t>
  </si>
  <si>
    <t>Add Data on other sheets for this sheet to update.</t>
  </si>
  <si>
    <t>Wishlists</t>
  </si>
  <si>
    <t>Impressions</t>
  </si>
  <si>
    <t>Visits</t>
  </si>
  <si>
    <t>Total Achieved</t>
  </si>
  <si>
    <t>Noor - Wishlists</t>
  </si>
  <si>
    <t>Noor - Impressions</t>
  </si>
  <si>
    <t>Noor - Visits</t>
  </si>
  <si>
    <t>Quarter 1</t>
  </si>
  <si>
    <t>Quarter Totals</t>
  </si>
  <si>
    <t>1/4</t>
  </si>
  <si>
    <t>1/11</t>
  </si>
  <si>
    <t>1/18</t>
  </si>
  <si>
    <t>1/25</t>
  </si>
  <si>
    <t>2/1</t>
  </si>
  <si>
    <t>2/8</t>
  </si>
  <si>
    <t>2/15</t>
  </si>
  <si>
    <t>2/22</t>
  </si>
  <si>
    <t>3/1</t>
  </si>
  <si>
    <t>3/8</t>
  </si>
  <si>
    <t>3/15</t>
  </si>
  <si>
    <t>3/22</t>
  </si>
  <si>
    <t>3/29</t>
  </si>
  <si>
    <t>WoW%</t>
  </si>
  <si>
    <t>Total</t>
  </si>
  <si>
    <t>Colossus - Eternal Blight</t>
  </si>
  <si>
    <t>Petunia's Purgatory</t>
  </si>
  <si>
    <t xml:space="preserve">Impressions and Visits 
to be added manually here.</t>
  </si>
  <si>
    <r>
      <rPr>
        <b/>
        <color theme="0"/>
        <family val="2"/>
        <scheme val="minor"/>
        <sz val="11"/>
        <rFont val="Calibri"/>
      </rPr>
      <t>Quarter</t>
    </r>
    <r>
      <rPr>
        <b/>
        <color theme="1"/>
        <family val="2"/>
        <scheme val="minor"/>
        <sz val="11"/>
        <rFont val="Calibri"/>
      </rPr>
      <t xml:space="preserve"> </t>
    </r>
    <r>
      <rPr>
        <b/>
        <color theme="0"/>
        <family val="2"/>
        <scheme val="minor"/>
        <sz val="11"/>
        <rFont val="Calibri"/>
      </rPr>
      <t>2</t>
    </r>
  </si>
  <si>
    <t>4/5</t>
  </si>
  <si>
    <t>4/12</t>
  </si>
  <si>
    <t>4/19</t>
  </si>
  <si>
    <t>4/26</t>
  </si>
  <si>
    <t>5/3</t>
  </si>
  <si>
    <t>5/10</t>
  </si>
  <si>
    <t>5/16</t>
  </si>
  <si>
    <t>5/23</t>
  </si>
  <si>
    <t>5/30</t>
  </si>
  <si>
    <t>6/6</t>
  </si>
  <si>
    <t>6/13</t>
  </si>
  <si>
    <t>6/20</t>
  </si>
  <si>
    <t>6/27</t>
  </si>
  <si>
    <t>5/17</t>
  </si>
  <si>
    <t>5/24</t>
  </si>
  <si>
    <t>5/31</t>
  </si>
  <si>
    <t>6/7</t>
  </si>
  <si>
    <t>6/14</t>
  </si>
  <si>
    <t>6/21</t>
  </si>
  <si>
    <t>6/28</t>
  </si>
  <si>
    <r>
      <t>Quarter</t>
    </r>
    <r>
      <rPr>
        <b/>
        <color theme="1"/>
        <family val="2"/>
        <scheme val="minor"/>
        <sz val="11"/>
        <rFont val="Calibri"/>
      </rPr>
      <t xml:space="preserve"> </t>
    </r>
    <r>
      <rPr>
        <b/>
        <color theme="0"/>
        <family val="2"/>
        <scheme val="minor"/>
        <sz val="11"/>
        <rFont val="Calibri"/>
      </rPr>
      <t>3</t>
    </r>
  </si>
  <si>
    <t>7/4</t>
  </si>
  <si>
    <t>7/11</t>
  </si>
  <si>
    <t>7/18</t>
  </si>
  <si>
    <t>7/25</t>
  </si>
  <si>
    <t>8/1</t>
  </si>
  <si>
    <t>8/8</t>
  </si>
  <si>
    <t>8/15</t>
  </si>
  <si>
    <t>8/22</t>
  </si>
  <si>
    <t>8/29</t>
  </si>
  <si>
    <t>9/5</t>
  </si>
  <si>
    <t>9/12</t>
  </si>
  <si>
    <t>9/19</t>
  </si>
  <si>
    <t>9/26</t>
  </si>
  <si>
    <t>Quarter 4</t>
  </si>
  <si>
    <t>10/3</t>
  </si>
  <si>
    <t>10/10</t>
  </si>
  <si>
    <t>10/17</t>
  </si>
  <si>
    <t>10/24</t>
  </si>
  <si>
    <t>10/31</t>
  </si>
  <si>
    <t>11/7</t>
  </si>
  <si>
    <t>11/14</t>
  </si>
  <si>
    <t>11/21</t>
  </si>
  <si>
    <t>11/28</t>
  </si>
  <si>
    <t>12/5</t>
  </si>
  <si>
    <t>12/12</t>
  </si>
  <si>
    <t>12/19</t>
  </si>
  <si>
    <t>12/26</t>
  </si>
  <si>
    <t>Noor</t>
  </si>
  <si>
    <t>DateLocal</t>
  </si>
  <si>
    <t>Adds</t>
  </si>
  <si>
    <t>Deletes</t>
  </si>
  <si>
    <t>Purchases And Activations</t>
  </si>
  <si>
    <t>Gifts</t>
  </si>
  <si>
    <t>Net Wishlist</t>
  </si>
  <si>
    <t>Weekly Net</t>
  </si>
  <si>
    <t>Monthly Net</t>
  </si>
  <si>
    <t>Data CSV. To be added here</t>
  </si>
  <si>
    <t>Fleetbreakers</t>
  </si>
  <si>
    <t>🎮 Steam Games Dashboard</t>
  </si>
  <si>
    <t>All Games</t>
  </si>
  <si>
    <t>Select Game:</t>
  </si>
  <si>
    <t>Total Wishlists</t>
  </si>
  <si>
    <t>Avg Visit→Wishlist</t>
  </si>
  <si>
    <t>Last Week Velocity</t>
  </si>
  <si>
    <t>Total Impressions</t>
  </si>
  <si>
    <t>📊 Weekly Wishlists</t>
  </si>
  <si>
    <t>Week</t>
  </si>
  <si>
    <t>📊 Weekly Impressions</t>
  </si>
  <si>
    <t>📊 Weekly Visits</t>
  </si>
  <si>
    <t>Check</t>
  </si>
  <si>
    <t>Pass</t>
  </si>
  <si>
    <t>Detail</t>
  </si>
  <si>
    <t>sheet exists: Consolidated KPI</t>
  </si>
  <si>
    <t>PASS</t>
  </si>
  <si>
    <t>found sheets: Consolidated KPI, KPI by Quarter, Taival_WL, Colossus - Eternal Blight_WL, Petunia's Purgatory_WL, Fleetbreakers_WL, Dashboard</t>
  </si>
  <si>
    <t>sheet exists: KPI by Quarter</t>
  </si>
  <si>
    <t>sheet exists: Taival_WL</t>
  </si>
  <si>
    <t>sheet exists: Colossus - Eternal Blight_WL</t>
  </si>
  <si>
    <t>sheet exists: Petunia's Purgatory_WL</t>
  </si>
  <si>
    <t>sheet exists: Fleetbreakers_WL</t>
  </si>
  <si>
    <t>sheet exists: Dashboard</t>
  </si>
  <si>
    <t>WL header A1/C1: Taival_WL</t>
  </si>
  <si>
    <t>A1="DateLocal" C1="Adds"</t>
  </si>
  <si>
    <t>WL game label B2: Taival_WL</t>
  </si>
  <si>
    <t>expected "Taival", got "Taival"</t>
  </si>
  <si>
    <t>WL header A1/C1: Colossus - Eternal Blight_WL</t>
  </si>
  <si>
    <t>WL game label B2: Colossus - Eternal Blight_WL</t>
  </si>
  <si>
    <t>expected "Colossus - Eternal Blight", got "Colossus - Eternal Blight"</t>
  </si>
  <si>
    <t>WL header A1/C1: Petunia's Purgatory_WL</t>
  </si>
  <si>
    <t>WL game label B2: Petunia's Purgatory_WL</t>
  </si>
  <si>
    <t>expected "Petunia's Purgatory", got "Petunia's Purgatory"</t>
  </si>
  <si>
    <t>WL header A1/C1: Fleetbreakers_WL</t>
  </si>
  <si>
    <t>WL game label B2: Fleetbreakers_WL</t>
  </si>
  <si>
    <t>expected "Fleetbreakers", got "Fleetbreakers"</t>
  </si>
  <si>
    <t>KPI block header A2 (taival Q1)</t>
  </si>
  <si>
    <t>KPI metric labels for taival Q1</t>
  </si>
  <si>
    <t>got ["Wishlists","Impressions","Visits"]</t>
  </si>
  <si>
    <t>KPI block header A19 (taival Q2)</t>
  </si>
  <si>
    <t>KPI metric labels for taival Q2</t>
  </si>
  <si>
    <t>KPI block header A36 (taival Q3)</t>
  </si>
  <si>
    <t>KPI metric labels for taival Q3</t>
  </si>
  <si>
    <t>KPI block header A53 (taival Q4)</t>
  </si>
  <si>
    <t>KPI metric labels for taival Q4</t>
  </si>
  <si>
    <t>KPI block header A6 (colossus Q1)</t>
  </si>
  <si>
    <t>KPI metric labels for colossus Q1</t>
  </si>
  <si>
    <t>KPI block header A23 (colossus Q2)</t>
  </si>
  <si>
    <t>KPI metric labels for colossus Q2</t>
  </si>
  <si>
    <t>KPI block header A40 (colossus Q3)</t>
  </si>
  <si>
    <t>KPI metric labels for colossus Q3</t>
  </si>
  <si>
    <t>KPI block header A57 (colossus Q4)</t>
  </si>
  <si>
    <t>KPI metric labels for colossus Q4</t>
  </si>
  <si>
    <t>KPI block header A10 (petunia Q1)</t>
  </si>
  <si>
    <t>expected "Petunia's Purgatory" or "Putania's Purgatory", got "Putania's Purgatory"</t>
  </si>
  <si>
    <t>KPI metric labels for petunia Q1</t>
  </si>
  <si>
    <t>KPI block header A27 (petunia Q2)</t>
  </si>
  <si>
    <t>KPI metric labels for petunia Q2</t>
  </si>
  <si>
    <t>KPI block header A44 (petunia Q3)</t>
  </si>
  <si>
    <t>KPI metric labels for petunia Q3</t>
  </si>
  <si>
    <t>KPI block header A61 (petunia Q4)</t>
  </si>
  <si>
    <t>KPI metric labels for petunia Q4</t>
  </si>
  <si>
    <t>KPI block header A14 (fleet Q1)</t>
  </si>
  <si>
    <t>expected "Fleet Breakers", got "Fleet Breakers"</t>
  </si>
  <si>
    <t>KPI metric labels for fleet Q1</t>
  </si>
  <si>
    <t>KPI block header A31 (fleet Q2)</t>
  </si>
  <si>
    <t>KPI metric labels for fleet Q2</t>
  </si>
  <si>
    <t>KPI block header A48 (fleet Q3)</t>
  </si>
  <si>
    <t>KPI metric labels for fleet Q3</t>
  </si>
  <si>
    <t>KPI block header A65 (fleet Q4)</t>
  </si>
  <si>
    <t>KPI metric labels for fleet Q4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</si>
  <si>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</si>
  <si>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</si>
  <si>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</si>
  <si>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</si>
  <si>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</si>
  <si>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</si>
  <si>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</si>
  <si>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</si>
  <si>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</si>
  <si>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</si>
  <si>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</si>
  <si>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</si>
  <si>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</si>
  <si>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</si>
  <si>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</si>
  <si>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</si>
  <si>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</si>
  <si>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</si>
  <si>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</si>
  <si>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</si>
  <si>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</si>
  <si>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</si>
  <si>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</si>
  <si>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</si>
  <si>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</si>
  <si>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</si>
  <si>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</si>
  <si>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</si>
  <si>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</si>
  <si>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</si>
  <si>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Timestamp</t>
  </si>
  <si>
    <t>Mode</t>
  </si>
  <si>
    <t>Range</t>
  </si>
  <si>
    <t>Seed</t>
  </si>
  <si>
    <t>Writes</t>
  </si>
  <si>
    <t>Skips</t>
  </si>
  <si>
    <t>Blocks</t>
  </si>
  <si>
    <t>Output File</t>
  </si>
  <si>
    <t>Input SHA256</t>
  </si>
  <si>
    <t>Output SHA256</t>
  </si>
  <si>
    <t>2026-05-07T09:43:41.238Z</t>
  </si>
  <si>
    <t>dry-run</t>
  </si>
  <si>
    <t>previous-month (2026-04)</t>
  </si>
  <si>
    <t>tracker-dry-run-v1</t>
  </si>
  <si>
    <t>Steamworks_Tracker_DRY_RUN_2026-05-07.xlsx</t>
  </si>
  <si>
    <t>a6e4808b986025ff65d429c2daed1425929429c5ca311c195a82b4fe32970bf9</t>
  </si>
  <si>
    <t>(self)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</si>
</sst>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color rgb="FF000000"/>
      <family val="2"/>
      <scheme val="minor"/>
      <sz val="10"/>
      <name val="Calibri"/>
    </font>
    <font>
      <color theme="1"/>
      <family val="2"/>
      <scheme val="minor"/>
      <sz val="18"/>
      <name val="Calibri"/>
    </font>
    <font>
      <b/>
      <color theme="1"/>
      <family val="2"/>
      <scheme val="minor"/>
      <sz val="12"/>
      <name val="Calibri"/>
    </font>
    <font>
      <b/>
      <color theme="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z val="11"/>
      <name val="Aptos Narrow"/>
    </font>
    <font>
      <color rgb="FF000000"/>
      <family val="2"/>
      <sz val="11"/>
      <name val="Calibri"/>
    </font>
    <font>
      <b/>
      <color rgb="FF1B2838"/>
      <family val="2"/>
      <scheme val="minor"/>
      <sz val="18"/>
      <name val="Calibri"/>
    </font>
    <font>
      <b/>
      <color rgb="FFFFFFFF"/>
      <family val="2"/>
      <scheme val="minor"/>
      <sz val="11"/>
      <name val="Calibri"/>
    </font>
    <font>
      <b/>
      <color rgb="FF000000"/>
      <family val="2"/>
      <scheme val="minor"/>
      <sz val="18"/>
      <name val="Calibri"/>
    </font>
    <font>
      <b/>
      <color rgb="FFFFFFFF"/>
      <family val="2"/>
      <scheme val="minor"/>
      <sz val="14"/>
      <name val="Calibri"/>
    </font>
    <font>
      <b/>
      <color rgb="FFFFFFFF"/>
      <family val="2"/>
      <scheme val="minor"/>
      <sz val="9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A5A5"/>
      </patternFill>
    </fill>
    <fill>
      <patternFill patternType="solid">
        <fgColor rgb="FF44546A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FD670B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670B"/>
        <bgColor indexed="64"/>
      </patternFill>
    </fill>
    <fill>
      <patternFill patternType="solid">
        <fgColor rgb="FF7F8389"/>
        <bgColor indexed="64"/>
      </patternFill>
    </fill>
    <fill>
      <patternFill patternType="solid">
        <fgColor rgb="FF82FAF4"/>
        <bgColor indexed="64"/>
      </patternFill>
    </fill>
    <fill>
      <patternFill patternType="solid">
        <fgColor rgb="FF1B9AAA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FF1B9AAA"/>
      </left>
      <right/>
      <top style="thin">
        <color rgb="FF1B9AAA"/>
      </top>
      <bottom/>
      <diagonal/>
    </border>
    <border>
      <left style="thin"/>
      <right style="thin"/>
      <top style="thin">
        <color rgb="FF1B9AAA"/>
      </top>
      <bottom/>
      <diagonal/>
    </border>
    <border>
      <left/>
      <right/>
      <top style="thin">
        <color rgb="FF1B9AAA"/>
      </top>
      <bottom/>
      <diagonal/>
    </border>
    <border>
      <left/>
      <right style="thin"/>
      <top style="thin">
        <color rgb="FF1B9AAA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165" fontId="3" fillId="3" borderId="1" xfId="0" applyNumberFormat="1" applyFont="1" applyFill="1" applyBorder="1"/>
    <xf numFmtId="165" fontId="3" fillId="5" borderId="1" xfId="0" applyNumberFormat="1" applyFont="1" applyFill="1" applyBorder="1"/>
    <xf numFmtId="165" fontId="3" fillId="6" borderId="1" xfId="0" applyNumberFormat="1" applyFont="1" applyFill="1" applyBorder="1"/>
    <xf numFmtId="165" fontId="3" fillId="7" borderId="1" xfId="0" applyNumberFormat="1" applyFont="1" applyFill="1" applyBorder="1"/>
    <xf numFmtId="0" fontId="5" fillId="4" borderId="0" xfId="0" applyFont="1" applyFill="1"/>
    <xf numFmtId="165" fontId="3" fillId="4" borderId="0" xfId="0" applyNumberFormat="1" applyFont="1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 applyAlignment="1">
      <alignment horizontal="right"/>
    </xf>
    <xf numFmtId="3" fontId="3" fillId="7" borderId="1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6" fillId="9" borderId="0" xfId="0" applyFont="1" applyFill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1" fillId="11" borderId="0" xfId="0" applyFont="1" applyFill="1" applyAlignment="1">
      <alignment vertical="center"/>
    </xf>
    <xf numFmtId="164" fontId="1" fillId="11" borderId="0" xfId="0" applyNumberFormat="1" applyFont="1" applyFill="1" applyAlignment="1">
      <alignment horizontal="center" vertical="center"/>
    </xf>
    <xf numFmtId="164" fontId="1" fillId="11" borderId="3" xfId="0" applyNumberFormat="1" applyFont="1" applyFill="1" applyBorder="1" applyAlignment="1">
      <alignment horizontal="center" vertical="center"/>
    </xf>
    <xf numFmtId="16" fontId="1" fillId="12" borderId="4" xfId="0" applyNumberFormat="1" applyFont="1" applyFill="1" applyBorder="1" applyAlignment="1">
      <alignment vertical="center"/>
    </xf>
    <xf numFmtId="0" fontId="1" fillId="1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8" fillId="9" borderId="0" xfId="0" applyFont="1" applyFill="1" applyAlignment="1">
      <alignment horizontal="left" vertical="center"/>
    </xf>
    <xf numFmtId="16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" fontId="5" fillId="4" borderId="0" xfId="0" applyNumberFormat="1" applyFont="1" applyFill="1" applyAlignment="1">
      <alignment vertical="center"/>
    </xf>
    <xf numFmtId="0" fontId="9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7" fillId="0" borderId="0" xfId="0" applyFont="1"/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15" borderId="7" xfId="0" applyFill="1" applyBorder="1" applyAlignment="1">
      <alignment vertical="center"/>
    </xf>
    <xf numFmtId="1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18" borderId="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2" fillId="19" borderId="13" xfId="0" applyFont="1" applyFill="1" applyBorder="1" applyAlignment="1">
      <alignment horizontal="center" vertical="center"/>
    </xf>
    <xf numFmtId="3" fontId="13" fillId="20" borderId="14" xfId="0" applyNumberFormat="1" applyFont="1" applyFill="1" applyBorder="1" applyAlignment="1">
      <alignment horizontal="center" vertical="center"/>
    </xf>
    <xf numFmtId="3" fontId="13" fillId="20" borderId="15" xfId="0" applyNumberFormat="1" applyFont="1" applyFill="1" applyBorder="1" applyAlignment="1">
      <alignment horizontal="center" vertical="center"/>
    </xf>
    <xf numFmtId="10" fontId="13" fillId="20" borderId="14" xfId="0" applyNumberFormat="1" applyFont="1" applyFill="1" applyBorder="1" applyAlignment="1">
      <alignment horizontal="center" vertical="center"/>
    </xf>
    <xf numFmtId="10" fontId="13" fillId="20" borderId="15" xfId="0" applyNumberFormat="1" applyFont="1" applyFill="1" applyBorder="1" applyAlignment="1">
      <alignment horizontal="center" vertical="center"/>
    </xf>
    <xf numFmtId="3" fontId="13" fillId="20" borderId="16" xfId="0" applyNumberFormat="1" applyFont="1" applyFill="1" applyBorder="1" applyAlignment="1">
      <alignment horizontal="center" vertical="center"/>
    </xf>
    <xf numFmtId="0" fontId="14" fillId="21" borderId="17" xfId="0" applyFont="1" applyFill="1" applyBorder="1" applyAlignment="1">
      <alignment horizontal="center"/>
    </xf>
    <xf numFmtId="0" fontId="15" fillId="19" borderId="18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16" fontId="7" fillId="8" borderId="1" xfId="0" applyNumberFormat="1" applyFont="1" applyFill="1" applyBorder="1" applyAlignment="1">
      <alignment horizontal="left"/>
    </xf>
    <xf numFmtId="3" fontId="7" fillId="8" borderId="1" xfId="0" applyNumberFormat="1" applyFont="1" applyFill="1" applyBorder="1" applyAlignment="1">
      <alignment horizontal="center"/>
    </xf>
    <xf numFmtId="0" fontId="7" fillId="4" borderId="0" xfId="0" applyFont="1" applyFill="1"/>
    <xf numFmtId="16" fontId="6" fillId="19" borderId="5" xfId="0" applyNumberFormat="1" applyFont="1" applyFill="1" applyBorder="1" applyAlignment="1">
      <alignment horizontal="center"/>
    </xf>
    <xf numFmtId="3" fontId="6" fillId="19" borderId="5" xfId="0" applyNumberFormat="1" applyFont="1" applyFill="1" applyBorder="1" applyAlignment="1">
      <alignment horizontal="center"/>
    </xf>
    <xf numFmtId="0" fontId="6" fillId="19" borderId="12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16" fontId="12" fillId="19" borderId="5" xfId="0" applyNumberFormat="1" applyFont="1" applyFill="1" applyBorder="1" applyAlignment="1">
      <alignment horizontal="center"/>
    </xf>
    <xf numFmtId="3" fontId="12" fillId="19" borderId="5" xfId="0" applyNumberFormat="1" applyFont="1" applyFill="1" applyBorder="1" applyAlignment="1">
      <alignment horizontal="center"/>
    </xf>
    <xf numFmtId="0" fontId="12" fillId="19" borderId="12" xfId="0" applyFont="1" applyFill="1" applyBorder="1" applyAlignment="1">
      <alignment horizontal="center"/>
    </xf>
    <xf numFmtId="0" fontId="12" fillId="19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P5" totalsRowShown="1" headerRowCount="0">
  <autoFilter ref="A2:P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2" displayName="Table2" ref="A6:P9" totalsRowShown="1" headerRowCount="0">
  <autoFilter ref="A6:P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3" displayName="Table3" ref="A10:P13" totalsRowShown="1" headerRowCount="0">
  <autoFilter ref="A10:P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4" displayName="Table4" ref="A14:P17" totalsRowShown="1" headerRowCount="0">
  <autoFilter ref="A14:P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9" displayName="Table9" ref="A19:P22" totalsRowShown="1" headerRowCount="0">
  <autoFilter ref="A19:P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10" displayName="Table10" ref="A23:P26" totalsRowShown="1" headerRowCount="0">
  <autoFilter ref="A23:P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11" displayName="Table11" ref="A27:P30" totalsRowShown="1" headerRowCount="0">
  <autoFilter ref="A27:P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12" displayName="Table12" ref="A31:P34" totalsRowShown="1" headerRowCount="0">
  <autoFilter ref="A31:P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4/5"/>
    <tableColumn id="3" name="4/12"/>
    <tableColumn id="4" name="4/19"/>
    <tableColumn id="5" name="4/26"/>
    <tableColumn id="6" name="5/3"/>
    <tableColumn id="7" name="5/10"/>
    <tableColumn id="8" name="5/17"/>
    <tableColumn id="9" name="5/24"/>
    <tableColumn id="10" name="5/31"/>
    <tableColumn id="11" name="6/7"/>
    <tableColumn id="12" name="6/14"/>
    <tableColumn id="13" name="6/21"/>
    <tableColumn id="14" name="6/28"/>
    <tableColumn id="15" name="WoW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14" displayName="Table14" ref="A36:P39" totalsRowShown="1" headerRowCount="0">
  <autoFilter ref="A36:P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15" displayName="Table15" ref="A40:P43" totalsRowShown="1" headerRowCount="0">
  <autoFilter ref="A40:P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6" displayName="Table16" ref="A44:P47" totalsRowShown="1" headerRowCount="0">
  <autoFilter ref="A44:P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7" displayName="Table17" ref="A48:P51" totalsRowShown="1" headerRowCount="0">
  <autoFilter ref="A48:P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18" displayName="Table18" ref="A53:P56" totalsRowShown="1" headerRowCount="0">
  <autoFilter ref="A53:P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19" displayName="Table19" ref="A57:P60" totalsRowShown="1" headerRowCount="0">
  <autoFilter ref="A57:P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20" displayName="Table20" ref="A61:P64" totalsRowShown="1" headerRowCount="0">
  <autoFilter ref="A61:P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able21" displayName="Table21" ref="A65:P68" totalsRowShown="1" headerRowCount="0">
  <autoFilter ref="A65:P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 zoomScale="100" zoomScaleNormal="100">
      <pane xSplit="1" topLeftCell="B10" activePane="topRight" state="frozen"/>
      <selection pane="topRight" activeCell="H33" sqref="H33"/>
    </sheetView>
  </sheetViews>
  <sheetFormatPr defaultRowHeight="15" outlineLevelRow="0" outlineLevelCol="0" x14ac:dyDescent="0"/>
  <cols>
    <col min="1" max="1" width="28.7109375" style="31" customWidth="1"/>
    <col min="2" max="2" width="11" style="31" customWidth="1"/>
    <col min="3" max="5" width="12.140625" style="31" customWidth="1"/>
    <col min="6" max="6" width="12" style="31" customWidth="1"/>
    <col min="7" max="7" width="11.7109375" style="31" customWidth="1"/>
    <col min="8" max="10" width="12.85546875" style="31" customWidth="1"/>
    <col min="11" max="11" width="11.42578125" style="31" customWidth="1"/>
    <col min="12" max="14" width="12.5703125" style="31" customWidth="1"/>
    <col min="15" max="15" width="10.140625" style="31" customWidth="1"/>
    <col min="16" max="16" width="14.28515625" style="31" customWidth="1"/>
    <col min="17" max="17" width="5.85546875" style="31" customWidth="1"/>
    <col min="18" max="19" width="9.7109375" style="31" customWidth="1"/>
    <col min="20" max="16384" width="9.140625" style="31" customWidth="1"/>
  </cols>
  <sheetData>
    <row r="1" ht="16.5" customHeight="1" spans="1:16" x14ac:dyDescent="0.25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 t="s">
        <v>27</v>
      </c>
    </row>
    <row r="2" ht="16.5" customHeight="1" spans="1:16" x14ac:dyDescent="0.25">
      <c r="A2" s="34" t="s">
        <v>14</v>
      </c>
      <c r="B2" s="35" t="s">
        <v>28</v>
      </c>
      <c r="C2" s="35" t="s">
        <v>29</v>
      </c>
      <c r="D2" s="35" t="s">
        <v>30</v>
      </c>
      <c r="E2" s="35" t="s">
        <v>31</v>
      </c>
      <c r="F2" s="36" t="s">
        <v>32</v>
      </c>
      <c r="G2" s="35" t="s">
        <v>33</v>
      </c>
      <c r="H2" s="35" t="s">
        <v>34</v>
      </c>
      <c r="I2" s="35" t="s">
        <v>35</v>
      </c>
      <c r="J2" s="36" t="s">
        <v>36</v>
      </c>
      <c r="K2" s="36" t="s">
        <v>37</v>
      </c>
      <c r="L2" s="36" t="s">
        <v>38</v>
      </c>
      <c r="M2" s="36" t="s">
        <v>39</v>
      </c>
      <c r="N2" s="36" t="s">
        <v>40</v>
      </c>
      <c r="O2" s="37" t="s">
        <v>41</v>
      </c>
      <c r="P2" s="38" t="s">
        <v>42</v>
      </c>
    </row>
    <row r="3" spans="1:16" x14ac:dyDescent="0.25">
      <c r="A3" s="39" t="s">
        <v>19</v>
      </c>
      <c r="B3" s="40">
        <f>SUMIF(Taival_WL!$A:$A,"&lt;="&amp;B2,Taival_WL!$H:$H)</f>
        <v>4</v>
      </c>
      <c r="C3" s="40">
        <f>SUMIFS(Taival_WL!$H:$H,Taival_WL!$A:$A,"&gt;"&amp;B2,Taival_WL!$A:$A,"&lt;="&amp;C2)</f>
        <v>2</v>
      </c>
      <c r="D3" s="40">
        <f>SUMIFS(Taival_WL!$H:$H,Taival_WL!$A:$A,"&gt;"&amp;C2,Taival_WL!$A:$A,"&lt;="&amp;D2)</f>
        <v>16</v>
      </c>
      <c r="E3" s="40">
        <f>SUMIFS(Taival_WL!$H:$H,Taival_WL!$A:$A,"&gt;"&amp;D2,Taival_WL!$A:$A,"&lt;="&amp;E2)</f>
        <v>0</v>
      </c>
      <c r="F3" s="41">
        <f>SUMIFS(Taival_WL!$H:$H,Taival_WL!$A:$A,"&gt;"&amp;E2,Taival_WL!$A:$A,"&lt;="&amp;F2)</f>
        <v>-2</v>
      </c>
      <c r="G3" s="40">
        <f>SUMIFS(Taival_WL!$H:$H,Taival_WL!$A:$A,"&gt;"&amp;F2,Taival_WL!$A:$A,"&lt;="&amp;G2)</f>
        <v>-6</v>
      </c>
      <c r="H3" s="40">
        <f>SUMIFS(Taival_WL!$H:$H,Taival_WL!$A:$A,"&gt;"&amp;G2,Taival_WL!$A:$A,"&lt;="&amp;H2)</f>
        <v>4</v>
      </c>
      <c r="I3" s="40">
        <f>SUMIFS(Taival_WL!$H:$H,Taival_WL!$A:$A,"&gt;"&amp;H2,Taival_WL!$A:$A,"&lt;="&amp;I2)</f>
        <v>26</v>
      </c>
      <c r="J3" s="41">
        <f>SUMIFS(Taival_WL!$H:$H,Taival_WL!$A:$A,"&gt;"&amp;I2,Taival_WL!$A:$A,"&lt;="&amp;J2)</f>
        <v>3</v>
      </c>
      <c r="K3" s="40">
        <f>SUMIFS(Taival_WL!$H:$H,Taival_WL!$A:$A,"&gt;"&amp;J2,Taival_WL!$A:$A,"&lt;="&amp;K2)</f>
        <v>7</v>
      </c>
      <c r="L3" s="40">
        <f>SUMIFS(Taival_WL!$H:$H,Taival_WL!$A:$A,"&gt;"&amp;K2,Taival_WL!$A:$A,"&lt;="&amp;L2)</f>
        <v>11</v>
      </c>
      <c r="M3" s="40">
        <f>SUMIFS(Taival_WL!$H:$H,Taival_WL!$A:$A,"&gt;"&amp;L2,Taival_WL!$A:$A,"&lt;="&amp;M2)</f>
        <v>22</v>
      </c>
      <c r="N3" s="40">
        <f>SUMIFS(Taival_WL!$H:$H,Taival_WL!$A:$A,"&gt;"&amp;M2,Taival_WL!$A:$A,"&lt;="&amp;N2)</f>
        <v>27</v>
      </c>
      <c r="O3" s="42">
        <f t="array" ref="O3">IFERROR(_xlfn.LET(
        _xlpm.rng,B3:N3,
        _xlpm.lastCol,MAX(IF(ISNUMBER(_xlpm.rng)*(_xlpm.rng&lt;&gt;0),COLUMN(_xlpm.rng),0)),
        _xlpm.secondLastCol,MAX(IF((ISNUMBER(_xlpm.rng)*(_xlpm.rng&lt;&gt;0)*(COLUMN(_xlpm.rng)&lt;_xlpm.lastCol)),COLUMN(_xlpm.rng),0)),
        _xlpm.lastVal,INDEX(B3:N3,1,_xlpm.lastCol-1),
        _xlpm.secondLastVal,INDEX(B3:N3,1,_xlpm.secondLastCol-1),
        IF(OR(_xlpm.secondLastCol=0,_xlpm.lastCol=0),"-",(_xlpm.lastVal-_xlpm.secondLastVal)/ABS(_xlpm.secondLastVal))
    ),"-")</f>
        <v>0.22727272727272727</v>
      </c>
      <c r="P3" s="40">
        <f t="shared" ref="P3:P17" si="0">SUM(B3:N3)</f>
        <v>114</v>
      </c>
    </row>
    <row r="4" spans="1:16" x14ac:dyDescent="0.25">
      <c r="A4" s="39" t="s">
        <v>20</v>
      </c>
      <c r="B4" s="40">
        <v>5095</v>
      </c>
      <c r="C4" s="40">
        <v>6399</v>
      </c>
      <c r="D4" s="40">
        <v>5490</v>
      </c>
      <c r="E4" s="40">
        <v>5392</v>
      </c>
      <c r="F4" s="40">
        <v>5225</v>
      </c>
      <c r="G4" s="40">
        <v>4806</v>
      </c>
      <c r="H4" s="40">
        <v>4560</v>
      </c>
      <c r="I4" s="40">
        <v>4282</v>
      </c>
      <c r="J4" s="40">
        <v>5673</v>
      </c>
      <c r="K4" s="40">
        <v>3043</v>
      </c>
      <c r="L4" s="40">
        <v>3184</v>
      </c>
      <c r="M4" s="40">
        <v>3803</v>
      </c>
      <c r="N4" s="41">
        <v>3196</v>
      </c>
      <c r="O4" s="42">
        <f t="array" ref="O4">IFERROR(_xlfn.LET(
        _xlpm.rng,B4:N4,
        _xlpm.lastCol,MAX(IF(ISNUMBER(_xlpm.rng)*(_xlpm.rng&lt;&gt;0),COLUMN(_xlpm.rng),0)),
        _xlpm.secondLastCol,MAX(IF((ISNUMBER(_xlpm.rng)*(_xlpm.rng&lt;&gt;0)*(COLUMN(_xlpm.rng)&lt;_xlpm.lastCol)),COLUMN(_xlpm.rng),0)),
        _xlpm.lastVal,INDEX(B4:N4,1,_xlpm.lastCol-1),
        _xlpm.secondLastVal,INDEX(B4:N4,1,_xlpm.secondLastCol-1),
        IF(OR(_xlpm.secondLastCol=0,_xlpm.lastCol=0),"-",(_xlpm.lastVal-_xlpm.secondLastVal)/ABS(_xlpm.secondLastVal))
    ),"-")</f>
        <v>-0.1596108335524586</v>
      </c>
      <c r="P4" s="40">
        <f t="shared" si="0"/>
        <v>60148</v>
      </c>
    </row>
    <row r="5" spans="1:16" x14ac:dyDescent="0.25">
      <c r="A5" s="39" t="s">
        <v>21</v>
      </c>
      <c r="B5" s="40">
        <v>1107</v>
      </c>
      <c r="C5" s="40">
        <v>2049</v>
      </c>
      <c r="D5" s="40">
        <v>1631</v>
      </c>
      <c r="E5" s="40">
        <v>889</v>
      </c>
      <c r="F5" s="40">
        <v>726</v>
      </c>
      <c r="G5" s="40">
        <v>705</v>
      </c>
      <c r="H5" s="40">
        <v>769</v>
      </c>
      <c r="I5" s="40">
        <v>704</v>
      </c>
      <c r="J5" s="40">
        <v>906</v>
      </c>
      <c r="K5" s="40">
        <v>680</v>
      </c>
      <c r="L5" s="40">
        <v>507</v>
      </c>
      <c r="M5" s="40">
        <v>618</v>
      </c>
      <c r="N5" s="41">
        <v>595</v>
      </c>
      <c r="O5" s="42">
        <f t="array" ref="O5">IFERROR(_xlfn.LET(
        _xlpm.rng,B5:N5,
        _xlpm.lastCol,MAX(IF(ISNUMBER(_xlpm.rng)*(_xlpm.rng&lt;&gt;0),COLUMN(_xlpm.rng),0)),
        _xlpm.secondLastCol,MAX(IF((ISNUMBER(_xlpm.rng)*(_xlpm.rng&lt;&gt;0)*(COLUMN(_xlpm.rng)&lt;_xlpm.lastCol)),COLUMN(_xlpm.rng),0)),
        _xlpm.lastVal,INDEX(B5:N5,1,_xlpm.lastCol-1),
        _xlpm.secondLastVal,INDEX(B5:N5,1,_xlpm.secondLastCol-1),
        IF(OR(_xlpm.secondLastCol=0,_xlpm.lastCol=0),"-",(_xlpm.lastVal-_xlpm.secondLastVal)/ABS(_xlpm.secondLastVal))
    ),"-")</f>
        <v>-0.0372168284789644</v>
      </c>
      <c r="P5" s="40">
        <f t="shared" si="0"/>
        <v>11886</v>
      </c>
    </row>
    <row r="6" ht="15.75" customHeight="1" spans="1:16" x14ac:dyDescent="0.25">
      <c r="A6" s="34" t="s">
        <v>43</v>
      </c>
      <c r="B6" s="35" t="s">
        <v>28</v>
      </c>
      <c r="C6" s="35" t="s">
        <v>29</v>
      </c>
      <c r="D6" s="35" t="s">
        <v>30</v>
      </c>
      <c r="E6" s="35" t="s">
        <v>31</v>
      </c>
      <c r="F6" s="36" t="s">
        <v>32</v>
      </c>
      <c r="G6" s="35" t="s">
        <v>33</v>
      </c>
      <c r="H6" s="35" t="s">
        <v>34</v>
      </c>
      <c r="I6" s="35" t="s">
        <v>35</v>
      </c>
      <c r="J6" s="36" t="s">
        <v>36</v>
      </c>
      <c r="K6" s="36" t="s">
        <v>37</v>
      </c>
      <c r="L6" s="36" t="s">
        <v>38</v>
      </c>
      <c r="M6" s="36" t="s">
        <v>39</v>
      </c>
      <c r="N6" s="36" t="s">
        <v>40</v>
      </c>
      <c r="O6" s="37" t="s">
        <v>41</v>
      </c>
      <c r="P6" s="38" t="s">
        <v>42</v>
      </c>
    </row>
    <row r="7" spans="1:16" x14ac:dyDescent="0.25">
      <c r="A7" s="39" t="s">
        <v>19</v>
      </c>
      <c r="B7" s="40">
        <f>SUMIF('Colossus - Eternal Blight_WL'!$A:$A,"&lt;="&amp;B6,'Colossus - Eternal Blight_WL'!$H:$H)</f>
        <v>22</v>
      </c>
      <c r="C7" s="40">
        <f>SUMIFS('Colossus - Eternal Blight_WL'!$H:$H,'Colossus - Eternal Blight_WL'!$A:$A,"&gt;"&amp;B6,'Colossus - Eternal Blight_WL'!$A:$A,"&lt;="&amp;C6)</f>
        <v>22</v>
      </c>
      <c r="D7" s="40">
        <f>SUMIFS('Colossus - Eternal Blight_WL'!$H:$H,'Colossus - Eternal Blight_WL'!$A:$A,"&gt;"&amp;C6,'Colossus - Eternal Blight_WL'!$A:$A,"&lt;="&amp;D6)</f>
        <v>23</v>
      </c>
      <c r="E7" s="40">
        <f>SUMIFS('Colossus - Eternal Blight_WL'!$H:$H,'Colossus - Eternal Blight_WL'!$A:$A,"&gt;"&amp;D6,'Colossus - Eternal Blight_WL'!$A:$A,"&lt;="&amp;E6)</f>
        <v>20</v>
      </c>
      <c r="F7" s="41">
        <f>SUMIFS('Colossus - Eternal Blight_WL'!$H:$H,'Colossus - Eternal Blight_WL'!$A:$A,"&gt;"&amp;E6,'Colossus - Eternal Blight_WL'!$A:$A,"&lt;="&amp;F6)</f>
        <v>286</v>
      </c>
      <c r="G7" s="40">
        <f>SUMIFS('Colossus - Eternal Blight_WL'!$H:$H,'Colossus - Eternal Blight_WL'!$A:$A,"&gt;"&amp;F6,'Colossus - Eternal Blight_WL'!$A:$A,"&lt;="&amp;G6)</f>
        <v>90</v>
      </c>
      <c r="H7" s="40">
        <f>SUMIFS('Colossus - Eternal Blight_WL'!$H:$H,'Colossus - Eternal Blight_WL'!$A:$A,"&gt;"&amp;G6,'Colossus - Eternal Blight_WL'!$A:$A,"&lt;="&amp;H6)</f>
        <v>132</v>
      </c>
      <c r="I7" s="40">
        <f>SUMIFS('Colossus - Eternal Blight_WL'!$H:$H,'Colossus - Eternal Blight_WL'!$A:$A,"&gt;"&amp;H6,'Colossus - Eternal Blight_WL'!$A:$A,"&lt;="&amp;I6)</f>
        <v>54</v>
      </c>
      <c r="J7" s="41">
        <f>SUMIFS('Colossus - Eternal Blight_WL'!$H:$H,'Colossus - Eternal Blight_WL'!$A:$A,"&gt;"&amp;I6,'Colossus - Eternal Blight_WL'!$A:$A,"&lt;="&amp;J6)</f>
        <v>89</v>
      </c>
      <c r="K7" s="40">
        <f>SUMIFS('Colossus - Eternal Blight_WL'!$H:$H,'Colossus - Eternal Blight_WL'!$A:$A,"&gt;"&amp;J6,'Colossus - Eternal Blight_WL'!$A:$A,"&lt;="&amp;K6)</f>
        <v>69</v>
      </c>
      <c r="L7" s="40">
        <f>SUMIFS('Colossus - Eternal Blight_WL'!$H:$H,'Colossus - Eternal Blight_WL'!$A:$A,"&gt;"&amp;K6,'Colossus - Eternal Blight_WL'!$A:$A,"&lt;="&amp;L6)</f>
        <v>95</v>
      </c>
      <c r="M7" s="40">
        <f>SUMIFS('Colossus - Eternal Blight_WL'!$H:$H,'Colossus - Eternal Blight_WL'!$A:$A,"&gt;"&amp;L6,'Colossus - Eternal Blight_WL'!$A:$A,"&lt;="&amp;M6)</f>
        <v>218</v>
      </c>
      <c r="N7" s="40">
        <f>SUMIFS('Colossus - Eternal Blight_WL'!$H:$H,'Colossus - Eternal Blight_WL'!$A:$A,"&gt;"&amp;M6,'Colossus - Eternal Blight_WL'!$A:$A,"&lt;="&amp;N6)</f>
        <v>106</v>
      </c>
      <c r="O7" s="42">
        <f t="array" ref="O7">IFERROR(_xlfn.LET(
        _xlpm.rng,B7:N7,
        _xlpm.lastCol,MAX(IF(ISNUMBER(_xlpm.rng)*(_xlpm.rng&lt;&gt;0),COLUMN(_xlpm.rng),0)),
        _xlpm.secondLastCol,MAX(IF((ISNUMBER(_xlpm.rng)*(_xlpm.rng&lt;&gt;0)*(COLUMN(_xlpm.rng)&lt;_xlpm.lastCol)),COLUMN(_xlpm.rng),0)),
        _xlpm.lastVal,INDEX(B7:N7,1,_xlpm.lastCol-1),
        _xlpm.secondLastVal,INDEX(B7:N7,1,_xlpm.secondLastCol-1),
        IF(OR(_xlpm.secondLastCol=0,_xlpm.lastCol=0),"-",(_xlpm.lastVal-_xlpm.secondLastVal)/ABS(_xlpm.secondLastVal))
    ),"-")</f>
        <v>-0.5137614678899083</v>
      </c>
      <c r="P7" s="40">
        <f t="shared" si="0"/>
        <v>1226</v>
      </c>
    </row>
    <row r="8" spans="1:16" x14ac:dyDescent="0.25">
      <c r="A8" s="39" t="s">
        <v>20</v>
      </c>
      <c r="B8" s="40">
        <v>1568</v>
      </c>
      <c r="C8" s="40">
        <v>1879</v>
      </c>
      <c r="D8" s="40">
        <v>2210</v>
      </c>
      <c r="E8" s="40">
        <v>2066</v>
      </c>
      <c r="F8" s="41">
        <v>3259</v>
      </c>
      <c r="G8" s="40">
        <v>2320</v>
      </c>
      <c r="H8" s="40">
        <v>2324</v>
      </c>
      <c r="I8" s="40">
        <v>2304</v>
      </c>
      <c r="J8" s="41">
        <v>2222</v>
      </c>
      <c r="K8" s="40">
        <v>1967</v>
      </c>
      <c r="L8" s="40">
        <v>4553</v>
      </c>
      <c r="M8" s="40">
        <v>6425</v>
      </c>
      <c r="N8" s="41">
        <v>5374</v>
      </c>
      <c r="O8" s="42">
        <f t="array" ref="O8">IFERROR(_xlfn.LET(
        _xlpm.rng,B8:N8,
        _xlpm.lastCol,MAX(IF(ISNUMBER(_xlpm.rng)*(_xlpm.rng&lt;&gt;0),COLUMN(_xlpm.rng),0)),
        _xlpm.secondLastCol,MAX(IF((ISNUMBER(_xlpm.rng)*(_xlpm.rng&lt;&gt;0)*(COLUMN(_xlpm.rng)&lt;_xlpm.lastCol)),COLUMN(_xlpm.rng),0)),
        _xlpm.lastVal,INDEX(B8:N8,1,_xlpm.lastCol-1),
        _xlpm.secondLastVal,INDEX(B8:N8,1,_xlpm.secondLastCol-1),
        IF(OR(_xlpm.secondLastCol=0,_xlpm.lastCol=0),"-",(_xlpm.lastVal-_xlpm.secondLastVal)/ABS(_xlpm.secondLastVal))
    ),"-")</f>
        <v>-0.163579766536965</v>
      </c>
      <c r="P8" s="40">
        <f t="shared" si="0"/>
        <v>38471</v>
      </c>
    </row>
    <row r="9" spans="1:16" x14ac:dyDescent="0.25">
      <c r="A9" s="39" t="s">
        <v>21</v>
      </c>
      <c r="B9" s="40">
        <v>424</v>
      </c>
      <c r="C9" s="40">
        <v>682</v>
      </c>
      <c r="D9" s="40">
        <v>591</v>
      </c>
      <c r="E9" s="40">
        <v>765</v>
      </c>
      <c r="F9" s="41">
        <v>1007</v>
      </c>
      <c r="G9" s="40">
        <v>798</v>
      </c>
      <c r="H9" s="40">
        <v>912</v>
      </c>
      <c r="I9" s="40">
        <v>832</v>
      </c>
      <c r="J9" s="41">
        <v>959</v>
      </c>
      <c r="K9" s="40">
        <v>806</v>
      </c>
      <c r="L9" s="40">
        <v>963</v>
      </c>
      <c r="M9" s="40">
        <v>1339</v>
      </c>
      <c r="N9" s="41">
        <v>1046</v>
      </c>
      <c r="O9" s="42">
        <f t="array" ref="O9">IFERROR(_xlfn.LET(
        _xlpm.rng,B9:N9,
        _xlpm.lastCol,MAX(IF(ISNUMBER(_xlpm.rng)*(_xlpm.rng&lt;&gt;0),COLUMN(_xlpm.rng),0)),
        _xlpm.secondLastCol,MAX(IF((ISNUMBER(_xlpm.rng)*(_xlpm.rng&lt;&gt;0)*(COLUMN(_xlpm.rng)&lt;_xlpm.lastCol)),COLUMN(_xlpm.rng),0)),
        _xlpm.lastVal,INDEX(B9:N9,1,_xlpm.lastCol-1),
        _xlpm.secondLastVal,INDEX(B9:N9,1,_xlpm.secondLastCol-1),
        IF(OR(_xlpm.secondLastCol=0,_xlpm.lastCol=0),"-",(_xlpm.lastVal-_xlpm.secondLastVal)/ABS(_xlpm.secondLastVal))
    ),"-")</f>
        <v>-0.21882001493651979</v>
      </c>
      <c r="P9" s="40">
        <f t="shared" si="0"/>
        <v>11124</v>
      </c>
    </row>
    <row r="10" ht="15.75" customHeight="1" spans="1:16" x14ac:dyDescent="0.25">
      <c r="A10" s="34" t="s">
        <v>44</v>
      </c>
      <c r="B10" s="35" t="s">
        <v>28</v>
      </c>
      <c r="C10" s="35" t="s">
        <v>29</v>
      </c>
      <c r="D10" s="35" t="s">
        <v>30</v>
      </c>
      <c r="E10" s="35" t="s">
        <v>31</v>
      </c>
      <c r="F10" s="36" t="s">
        <v>32</v>
      </c>
      <c r="G10" s="35" t="s">
        <v>33</v>
      </c>
      <c r="H10" s="35" t="s">
        <v>34</v>
      </c>
      <c r="I10" s="35" t="s">
        <v>35</v>
      </c>
      <c r="J10" s="36" t="s">
        <v>36</v>
      </c>
      <c r="K10" s="36" t="s">
        <v>37</v>
      </c>
      <c r="L10" s="36" t="s">
        <v>38</v>
      </c>
      <c r="M10" s="36" t="s">
        <v>39</v>
      </c>
      <c r="N10" s="36" t="s">
        <v>40</v>
      </c>
      <c r="O10" s="37" t="s">
        <v>41</v>
      </c>
      <c r="P10" s="38" t="s">
        <v>42</v>
      </c>
    </row>
    <row r="11" spans="1:16" x14ac:dyDescent="0.25">
      <c r="A11" s="39" t="s">
        <v>19</v>
      </c>
      <c r="B11" s="40">
        <f>SUMIF('Petunia''s Purgatory_WL'!$A:$A,"&lt;="&amp;B10,'Petunia''s Purgatory_WL'!$H:$H)</f>
        <v>155</v>
      </c>
      <c r="C11" s="40">
        <f>SUMIFS('Petunia''s Purgatory_WL'!$H:$H,'Petunia''s Purgatory_WL'!$A:$A,"&gt;"&amp;B10,'Petunia''s Purgatory_WL'!$A:$A,"&lt;="&amp;C10)</f>
        <v>36</v>
      </c>
      <c r="D11" s="40">
        <f>SUMIFS('Petunia''s Purgatory_WL'!$H:$H,'Petunia''s Purgatory_WL'!$A:$A,"&gt;"&amp;C10,'Petunia''s Purgatory_WL'!$A:$A,"&lt;="&amp;D10)</f>
        <v>16</v>
      </c>
      <c r="E11" s="40">
        <f>SUMIFS('Petunia''s Purgatory_WL'!$H:$H,'Petunia''s Purgatory_WL'!$A:$A,"&gt;"&amp;D10,'Petunia''s Purgatory_WL'!$A:$A,"&lt;="&amp;E10)</f>
        <v>12</v>
      </c>
      <c r="F11" s="41">
        <f>SUMIFS('Petunia''s Purgatory_WL'!$H:$H,'Petunia''s Purgatory_WL'!$A:$A,"&gt;"&amp;E10,'Petunia''s Purgatory_WL'!$A:$A,"&lt;="&amp;F10)</f>
        <v>23</v>
      </c>
      <c r="G11" s="40">
        <f>SUMIFS('Petunia''s Purgatory_WL'!$H:$H,'Petunia''s Purgatory_WL'!$A:$A,"&gt;"&amp;F10,'Petunia''s Purgatory_WL'!$A:$A,"&lt;="&amp;G10)</f>
        <v>30</v>
      </c>
      <c r="H11" s="40">
        <f>SUMIFS('Petunia''s Purgatory_WL'!$H:$H,'Petunia''s Purgatory_WL'!$A:$A,"&gt;"&amp;G10,'Petunia''s Purgatory_WL'!$A:$A,"&lt;="&amp;H10)</f>
        <v>29</v>
      </c>
      <c r="I11" s="40">
        <f>SUMIFS('Petunia''s Purgatory_WL'!$H:$H,'Petunia''s Purgatory_WL'!$A:$A,"&gt;"&amp;H10,'Petunia''s Purgatory_WL'!$A:$A,"&lt;="&amp;I10)</f>
        <v>76</v>
      </c>
      <c r="J11" s="41">
        <f>SUMIFS('Petunia''s Purgatory_WL'!$H:$H,'Petunia''s Purgatory_WL'!$A:$A,"&gt;"&amp;I10,'Petunia''s Purgatory_WL'!$A:$A,"&lt;="&amp;J10)</f>
        <v>959</v>
      </c>
      <c r="K11" s="40">
        <f>SUMIFS('Petunia''s Purgatory_WL'!$H:$H,'Petunia''s Purgatory_WL'!$A:$A,"&gt;"&amp;J10,'Petunia''s Purgatory_WL'!$A:$A,"&lt;="&amp;K10)</f>
        <v>37</v>
      </c>
      <c r="L11" s="40">
        <f>SUMIFS('Petunia''s Purgatory_WL'!$H:$H,'Petunia''s Purgatory_WL'!$A:$A,"&gt;"&amp;K10,'Petunia''s Purgatory_WL'!$A:$A,"&lt;="&amp;L10)</f>
        <v>24</v>
      </c>
      <c r="M11" s="40">
        <f>SUMIFS('Petunia''s Purgatory_WL'!$H:$H,'Petunia''s Purgatory_WL'!$A:$A,"&gt;"&amp;L10,'Petunia''s Purgatory_WL'!$A:$A,"&lt;="&amp;M10)</f>
        <v>11</v>
      </c>
      <c r="N11" s="40">
        <f>SUMIFS('Petunia''s Purgatory_WL'!$H:$H,'Petunia''s Purgatory_WL'!$A:$A,"&gt;"&amp;M10,'Petunia''s Purgatory_WL'!$A:$A,"&lt;="&amp;N10)</f>
        <v>17</v>
      </c>
      <c r="O11" s="43">
        <f t="array" ref="O11">IFERROR(_xlfn.LET(
        _xlpm.rng,B11:N11,
        _xlpm.lastCol,MAX(IF(ISNUMBER(_xlpm.rng)*(_xlpm.rng&lt;&gt;0),COLUMN(_xlpm.rng),0)),
        _xlpm.secondLastCol,MAX(IF((ISNUMBER(_xlpm.rng)*(_xlpm.rng&lt;&gt;0)*(COLUMN(_xlpm.rng)&lt;_xlpm.lastCol)),COLUMN(_xlpm.rng),0)),
        _xlpm.lastVal,INDEX(B11:N11,1,_xlpm.lastCol-1),
        _xlpm.secondLastVal,INDEX(B11:N11,1,_xlpm.secondLastCol-1),
        IF(OR(_xlpm.secondLastCol=0,_xlpm.lastCol=0),"-",(_xlpm.lastVal-_xlpm.secondLastVal)/ABS(_xlpm.secondLastVal))
    ),"-")</f>
        <v>0.5454545454545454</v>
      </c>
      <c r="P11" s="40">
        <f t="shared" si="0"/>
        <v>1425</v>
      </c>
    </row>
    <row r="12" spans="1:16" x14ac:dyDescent="0.25">
      <c r="A12" s="39" t="s">
        <v>20</v>
      </c>
      <c r="B12" s="40">
        <v>3279</v>
      </c>
      <c r="C12" s="40">
        <v>4700</v>
      </c>
      <c r="D12" s="40">
        <v>3386</v>
      </c>
      <c r="E12" s="40">
        <v>2992</v>
      </c>
      <c r="F12" s="41">
        <v>3010</v>
      </c>
      <c r="G12" s="40">
        <v>3278</v>
      </c>
      <c r="H12" s="40">
        <v>3624</v>
      </c>
      <c r="I12" s="40">
        <v>3748</v>
      </c>
      <c r="J12" s="41">
        <v>153264</v>
      </c>
      <c r="K12" s="40">
        <v>16940</v>
      </c>
      <c r="L12" s="40">
        <v>5171</v>
      </c>
      <c r="M12" s="40">
        <v>3906</v>
      </c>
      <c r="N12" s="41">
        <v>3455</v>
      </c>
      <c r="O12" s="43">
        <f t="array" ref="O12">IFERROR(_xlfn.LET(
        _xlpm.rng,B12:N12,
        _xlpm.lastCol,MAX(IF(ISNUMBER(_xlpm.rng)*(_xlpm.rng&lt;&gt;0),COLUMN(_xlpm.rng),0)),
        _xlpm.secondLastCol,MAX(IF((ISNUMBER(_xlpm.rng)*(_xlpm.rng&lt;&gt;0)*(COLUMN(_xlpm.rng)&lt;_xlpm.lastCol)),COLUMN(_xlpm.rng),0)),
        _xlpm.lastVal,INDEX(B12:N12,1,_xlpm.lastCol-1),
        _xlpm.secondLastVal,INDEX(B12:N12,1,_xlpm.secondLastCol-1),
        IF(OR(_xlpm.secondLastCol=0,_xlpm.lastCol=0),"-",(_xlpm.lastVal-_xlpm.secondLastVal)/ABS(_xlpm.secondLastVal))
    ),"-")</f>
        <v>-0.11546338965693805</v>
      </c>
      <c r="P12" s="40">
        <f t="shared" si="0"/>
        <v>210753</v>
      </c>
    </row>
    <row r="13" spans="1:16" x14ac:dyDescent="0.25">
      <c r="A13" s="39" t="s">
        <v>21</v>
      </c>
      <c r="B13" s="40">
        <v>1513</v>
      </c>
      <c r="C13" s="40">
        <v>833</v>
      </c>
      <c r="D13" s="40">
        <v>795</v>
      </c>
      <c r="E13" s="40">
        <v>690</v>
      </c>
      <c r="F13" s="41">
        <v>1056</v>
      </c>
      <c r="G13" s="40">
        <v>885</v>
      </c>
      <c r="H13" s="40">
        <v>1126</v>
      </c>
      <c r="I13" s="40">
        <v>906</v>
      </c>
      <c r="J13" s="41">
        <v>5244</v>
      </c>
      <c r="K13" s="40">
        <v>1617</v>
      </c>
      <c r="L13" s="40">
        <v>1051</v>
      </c>
      <c r="M13" s="40">
        <v>1005</v>
      </c>
      <c r="N13" s="41">
        <v>4897</v>
      </c>
      <c r="O13" s="43">
        <f t="array" ref="O13">IFERROR(_xlfn.LET(
        _xlpm.rng,B13:N13,
        _xlpm.lastCol,MAX(IF(ISNUMBER(_xlpm.rng)*(_xlpm.rng&lt;&gt;0),COLUMN(_xlpm.rng),0)),
        _xlpm.secondLastCol,MAX(IF((ISNUMBER(_xlpm.rng)*(_xlpm.rng&lt;&gt;0)*(COLUMN(_xlpm.rng)&lt;_xlpm.lastCol)),COLUMN(_xlpm.rng),0)),
        _xlpm.lastVal,INDEX(B13:N13,1,_xlpm.lastCol-1),
        _xlpm.secondLastVal,INDEX(B13:N13,1,_xlpm.secondLastCol-1),
        IF(OR(_xlpm.secondLastCol=0,_xlpm.lastCol=0),"-",(_xlpm.lastVal-_xlpm.secondLastVal)/ABS(_xlpm.secondLastVal))
    ),"-")</f>
        <v>3.872636815920398</v>
      </c>
      <c r="P13" s="40">
        <f t="shared" si="0"/>
        <v>21618</v>
      </c>
    </row>
    <row r="14" ht="15.75" customHeight="1" spans="1:22" x14ac:dyDescent="0.25">
      <c r="A14" s="34" t="s">
        <v>17</v>
      </c>
      <c r="B14" s="35" t="s">
        <v>28</v>
      </c>
      <c r="C14" s="35" t="s">
        <v>29</v>
      </c>
      <c r="D14" s="35" t="s">
        <v>30</v>
      </c>
      <c r="E14" s="35" t="s">
        <v>31</v>
      </c>
      <c r="F14" s="36" t="s">
        <v>32</v>
      </c>
      <c r="G14" s="35" t="s">
        <v>33</v>
      </c>
      <c r="H14" s="35" t="s">
        <v>34</v>
      </c>
      <c r="I14" s="35" t="s">
        <v>35</v>
      </c>
      <c r="J14" s="36" t="s">
        <v>36</v>
      </c>
      <c r="K14" s="36" t="s">
        <v>37</v>
      </c>
      <c r="L14" s="36" t="s">
        <v>38</v>
      </c>
      <c r="M14" s="36" t="s">
        <v>39</v>
      </c>
      <c r="N14" s="36" t="s">
        <v>40</v>
      </c>
      <c r="O14" s="37" t="s">
        <v>41</v>
      </c>
      <c r="P14" s="38" t="s">
        <v>42</v>
      </c>
      <c r="R14" s="15" t="s">
        <v>45</v>
      </c>
      <c r="S14" s="16"/>
      <c r="T14" s="16"/>
      <c r="U14" s="16"/>
      <c r="V14" s="16"/>
    </row>
    <row r="15" spans="1:22" x14ac:dyDescent="0.25">
      <c r="A15" s="39" t="s">
        <v>19</v>
      </c>
      <c r="B15" s="40">
        <f>SUMIF(Fleetbreakers_WL!$A:$A,"&lt;="&amp;B14,Fleetbreakers_WL!$H:$H)</f>
        <v>49</v>
      </c>
      <c r="C15" s="40">
        <f>SUMIFS(Fleetbreakers_WL!$H:$H,Fleetbreakers_WL!$A:$A,"&gt;"&amp;B14,Fleetbreakers_WL!$A:$A,"&lt;="&amp;C14)</f>
        <v>76</v>
      </c>
      <c r="D15" s="40">
        <f>SUMIFS(Fleetbreakers_WL!$H:$H,Fleetbreakers_WL!$A:$A,"&gt;"&amp;C14,Fleetbreakers_WL!$A:$A,"&lt;="&amp;D14)</f>
        <v>138</v>
      </c>
      <c r="E15" s="40">
        <f>SUMIFS(Fleetbreakers_WL!$H:$H,Fleetbreakers_WL!$A:$A,"&gt;"&amp;D14,Fleetbreakers_WL!$A:$A,"&lt;="&amp;E14)</f>
        <v>33</v>
      </c>
      <c r="F15" s="41">
        <f>SUMIFS(Fleetbreakers_WL!$H:$H,Fleetbreakers_WL!$A:$A,"&gt;"&amp;E14,Fleetbreakers_WL!$A:$A,"&lt;="&amp;F14)</f>
        <v>-2</v>
      </c>
      <c r="G15" s="40">
        <f>SUMIFS(Fleetbreakers_WL!$H:$H,Fleetbreakers_WL!$A:$A,"&gt;"&amp;F14,Fleetbreakers_WL!$A:$A,"&lt;="&amp;G14)</f>
        <v>12</v>
      </c>
      <c r="H15" s="40">
        <f>SUMIFS(Fleetbreakers_WL!$H:$H,Fleetbreakers_WL!$A:$A,"&gt;"&amp;G14,Fleetbreakers_WL!$A:$A,"&lt;="&amp;H14)</f>
        <v>1</v>
      </c>
      <c r="I15" s="40">
        <f>SUMIFS(Fleetbreakers_WL!$H:$H,Fleetbreakers_WL!$A:$A,"&gt;"&amp;H14,Fleetbreakers_WL!$A:$A,"&lt;="&amp;I14)</f>
        <v>0</v>
      </c>
      <c r="J15" s="41">
        <f>SUMIFS(Fleetbreakers_WL!$H:$H,Fleetbreakers_WL!$A:$A,"&gt;"&amp;I14,Fleetbreakers_WL!$A:$A,"&lt;="&amp;J14)</f>
        <v>-14</v>
      </c>
      <c r="K15" s="40">
        <f>SUMIFS(Fleetbreakers_WL!$H:$H,Fleetbreakers_WL!$A:$A,"&gt;"&amp;J14,Fleetbreakers_WL!$A:$A,"&lt;="&amp;K14)</f>
        <v>5</v>
      </c>
      <c r="L15" s="40">
        <f>SUMIFS(Fleetbreakers_WL!$H:$H,Fleetbreakers_WL!$A:$A,"&gt;"&amp;K14,Fleetbreakers_WL!$A:$A,"&lt;="&amp;L14)</f>
        <v>1</v>
      </c>
      <c r="M15" s="40">
        <f>SUMIFS(Fleetbreakers_WL!$H:$H,Fleetbreakers_WL!$A:$A,"&gt;"&amp;L14,Fleetbreakers_WL!$A:$A,"&lt;="&amp;M14)</f>
        <v>-5</v>
      </c>
      <c r="N15" s="40">
        <f>SUMIFS(Fleetbreakers_WL!$H:$H,Fleetbreakers_WL!$A:$A,"&gt;"&amp;M14,Fleetbreakers_WL!$A:$A,"&lt;="&amp;N14)</f>
        <v>-2</v>
      </c>
      <c r="O15" s="43">
        <f t="array" ref="O15">IFERROR(_xlfn.LET(
        _xlpm.rng,B15:N15,
        _xlpm.lastCol,MAX(IF(ISNUMBER(_xlpm.rng)*(_xlpm.rng&lt;&gt;0),COLUMN(_xlpm.rng),0)),
        _xlpm.secondLastCol,MAX(IF((ISNUMBER(_xlpm.rng)*(_xlpm.rng&lt;&gt;0)*(COLUMN(_xlpm.rng)&lt;_xlpm.lastCol)),COLUMN(_xlpm.rng),0)),
        _xlpm.lastVal,INDEX(B15:N15,1,_xlpm.lastCol-1),
        _xlpm.secondLastVal,INDEX(B15:N15,1,_xlpm.secondLastCol-1),
        IF(OR(_xlpm.secondLastCol=0,_xlpm.lastCol=0),"-",(_xlpm.lastVal-_xlpm.secondLastVal)/ABS(_xlpm.secondLastVal))
    ),"-")</f>
        <v>0.6</v>
      </c>
      <c r="P15" s="40">
        <f t="shared" si="0"/>
        <v>292</v>
      </c>
      <c r="R15" s="16"/>
      <c r="S15" s="16"/>
      <c r="T15" s="16"/>
      <c r="U15" s="16"/>
      <c r="V15" s="16"/>
    </row>
    <row r="16" spans="1:22" x14ac:dyDescent="0.25">
      <c r="A16" s="39" t="s">
        <v>20</v>
      </c>
      <c r="B16" s="40">
        <v>5095</v>
      </c>
      <c r="C16" s="40">
        <v>6399</v>
      </c>
      <c r="D16" s="40">
        <v>5490</v>
      </c>
      <c r="E16" s="40">
        <v>5392</v>
      </c>
      <c r="F16" s="41">
        <v>5225</v>
      </c>
      <c r="G16" s="40">
        <v>4806</v>
      </c>
      <c r="H16" s="40">
        <v>4560</v>
      </c>
      <c r="I16" s="40">
        <v>4282</v>
      </c>
      <c r="J16" s="41">
        <v>5673</v>
      </c>
      <c r="K16" s="40">
        <v>4376</v>
      </c>
      <c r="L16" s="40">
        <v>3950</v>
      </c>
      <c r="M16" s="40">
        <v>5167</v>
      </c>
      <c r="N16" s="41">
        <v>4403</v>
      </c>
      <c r="O16" s="43">
        <f t="array" ref="O16">IFERROR(_xlfn.LET(
        _xlpm.rng,B16:N16,
        _xlpm.lastCol,MAX(IF(ISNUMBER(_xlpm.rng)*(_xlpm.rng&lt;&gt;0),COLUMN(_xlpm.rng),0)),
        _xlpm.secondLastCol,MAX(IF((ISNUMBER(_xlpm.rng)*(_xlpm.rng&lt;&gt;0)*(COLUMN(_xlpm.rng)&lt;_xlpm.lastCol)),COLUMN(_xlpm.rng),0)),
        _xlpm.lastVal,INDEX(B16:N16,1,_xlpm.lastCol-1),
        _xlpm.secondLastVal,INDEX(B16:N16,1,_xlpm.secondLastCol-1),
        IF(OR(_xlpm.secondLastCol=0,_xlpm.lastCol=0),"-",(_xlpm.lastVal-_xlpm.secondLastVal)/ABS(_xlpm.secondLastVal))
    ),"-")</f>
        <v>-0.14786142829494872</v>
      </c>
      <c r="P16" s="40">
        <f t="shared" si="0"/>
        <v>64818</v>
      </c>
      <c r="R16" s="16"/>
      <c r="S16" s="16"/>
      <c r="T16" s="16"/>
      <c r="U16" s="16"/>
      <c r="V16" s="16"/>
    </row>
    <row r="17" ht="15.75" customHeight="1" spans="1:22" x14ac:dyDescent="0.25">
      <c r="A17" s="39" t="s">
        <v>21</v>
      </c>
      <c r="B17" s="40">
        <v>1107</v>
      </c>
      <c r="C17" s="40">
        <v>2049</v>
      </c>
      <c r="D17" s="40">
        <v>1631</v>
      </c>
      <c r="E17" s="40">
        <v>889</v>
      </c>
      <c r="F17" s="41">
        <v>726</v>
      </c>
      <c r="G17" s="40">
        <v>705</v>
      </c>
      <c r="H17" s="40">
        <v>769</v>
      </c>
      <c r="I17" s="40">
        <v>704</v>
      </c>
      <c r="J17" s="41">
        <v>906</v>
      </c>
      <c r="K17" s="40">
        <v>799</v>
      </c>
      <c r="L17" s="40">
        <v>662</v>
      </c>
      <c r="M17" s="40">
        <v>751</v>
      </c>
      <c r="N17" s="41">
        <v>707</v>
      </c>
      <c r="O17" s="43">
        <f t="array" ref="O17">IFERROR(_xlfn.LET(
        _xlpm.rng,B17:N17,
        _xlpm.lastCol,MAX(IF(ISNUMBER(_xlpm.rng)*(_xlpm.rng&lt;&gt;0),COLUMN(_xlpm.rng),0)),
        _xlpm.secondLastCol,MAX(IF((ISNUMBER(_xlpm.rng)*(_xlpm.rng&lt;&gt;0)*(COLUMN(_xlpm.rng)&lt;_xlpm.lastCol)),COLUMN(_xlpm.rng),0)),
        _xlpm.lastVal,INDEX(B17:N17,1,_xlpm.lastCol-1),
        _xlpm.secondLastVal,INDEX(B17:N17,1,_xlpm.secondLastCol-1),
        IF(OR(_xlpm.secondLastCol=0,_xlpm.lastCol=0),"-",(_xlpm.lastVal-_xlpm.secondLastVal)/ABS(_xlpm.secondLastVal))
    ),"-")</f>
        <v>-0.05858854860186418</v>
      </c>
      <c r="P17" s="40">
        <f t="shared" si="0"/>
        <v>12405</v>
      </c>
      <c r="R17" s="16"/>
      <c r="S17" s="16"/>
      <c r="T17" s="16"/>
      <c r="U17" s="16"/>
      <c r="V17" s="16"/>
    </row>
    <row r="18" ht="16.5" customHeight="1" spans="1:22" x14ac:dyDescent="0.25">
      <c r="A18" s="44" t="s">
        <v>46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3" t="s">
        <v>27</v>
      </c>
      <c r="R18" s="16"/>
      <c r="S18" s="16"/>
      <c r="T18" s="16"/>
      <c r="U18" s="16"/>
      <c r="V18" s="16"/>
    </row>
    <row r="19" ht="16.5" customHeight="1" spans="1:22" x14ac:dyDescent="0.25">
      <c r="A19" s="34" t="s">
        <v>14</v>
      </c>
      <c r="B19" s="35" t="s">
        <v>47</v>
      </c>
      <c r="C19" s="35" t="s">
        <v>48</v>
      </c>
      <c r="D19" s="35" t="s">
        <v>49</v>
      </c>
      <c r="E19" s="35" t="s">
        <v>50</v>
      </c>
      <c r="F19" s="36" t="s">
        <v>51</v>
      </c>
      <c r="G19" s="35" t="s">
        <v>52</v>
      </c>
      <c r="H19" s="35" t="s">
        <v>53</v>
      </c>
      <c r="I19" s="35" t="s">
        <v>54</v>
      </c>
      <c r="J19" s="36" t="s">
        <v>55</v>
      </c>
      <c r="K19" s="36" t="s">
        <v>56</v>
      </c>
      <c r="L19" s="36" t="s">
        <v>57</v>
      </c>
      <c r="M19" s="36" t="s">
        <v>58</v>
      </c>
      <c r="N19" s="36" t="s">
        <v>59</v>
      </c>
      <c r="O19" s="37" t="s">
        <v>41</v>
      </c>
      <c r="P19" s="38" t="s">
        <v>42</v>
      </c>
      <c r="Q19" s="45"/>
      <c r="R19" s="16"/>
      <c r="S19" s="16"/>
      <c r="T19" s="16"/>
      <c r="U19" s="16"/>
      <c r="V19" s="16"/>
    </row>
    <row r="20" spans="1:22" x14ac:dyDescent="0.25">
      <c r="A20" s="39" t="s">
        <v>19</v>
      </c>
      <c r="B20" s="40">
        <f>SUMIFS(Taival_WL!$H:$H,Taival_WL!$A:$A,"&gt;"&amp;N2,Taival_WL!$A:$A,"&lt;="&amp;B19)</f>
        <v>249</v>
      </c>
      <c r="C20" s="40">
        <f>SUMIFS(Taival_WL!$H:$H,Taival_WL!$A:$A,"&gt;"&amp;B19,Taival_WL!$A:$A,"&lt;="&amp;C19)</f>
        <v>363</v>
      </c>
      <c r="D20" s="40">
        <f>SUMIFS(Taival_WL!$H:$H,Taival_WL!$A:$A,"&gt;"&amp;C19,Taival_WL!$A:$A,"&lt;="&amp;D19)</f>
        <v>668</v>
      </c>
      <c r="E20" s="40">
        <f>SUMIFS(Taival_WL!$H:$H,Taival_WL!$A:$A,"&gt;"&amp;D19,Taival_WL!$A:$A,"&lt;="&amp;E19)</f>
        <v>3186</v>
      </c>
      <c r="F20" s="40">
        <f>SUMIFS(Taival_WL!$H:$H,Taival_WL!$A:$A,"&gt;"&amp;E19,Taival_WL!$A:$A,"&lt;="&amp;F19)</f>
        <v>827</v>
      </c>
      <c r="G20" s="40">
        <f>SUMIFS(Taival_WL!$H:$H,Taival_WL!$A:$A,"&gt;"&amp;F19,Taival_WL!$A:$A,"&lt;="&amp;G19)</f>
        <v>0</v>
      </c>
      <c r="H20" s="40">
        <f>SUMIFS(Taival_WL!$H:$H,Taival_WL!$A:$A,"&gt;"&amp;G19,Taival_WL!$A:$A,"&lt;="&amp;H19)</f>
        <v>0</v>
      </c>
      <c r="I20" s="40">
        <f>SUMIFS(Taival_WL!$H:$H,Taival_WL!$A:$A,"&gt;"&amp;H19,Taival_WL!$A:$A,"&lt;="&amp;I19)</f>
        <v>0</v>
      </c>
      <c r="J20" s="40">
        <f>SUMIFS(Taival_WL!$H:$H,Taival_WL!$A:$A,"&gt;"&amp;I19,Taival_WL!$A:$A,"&lt;="&amp;J19)</f>
        <v>0</v>
      </c>
      <c r="K20" s="40">
        <f>SUMIFS(Taival_WL!$H:$H,Taival_WL!$A:$A,"&gt;"&amp;J19,Taival_WL!$A:$A,"&lt;="&amp;K19)</f>
        <v>0</v>
      </c>
      <c r="L20" s="40">
        <f>SUMIFS(Taival_WL!$H:$H,Taival_WL!$A:$A,"&gt;"&amp;K19,Taival_WL!$A:$A,"&lt;="&amp;L19)</f>
        <v>0</v>
      </c>
      <c r="M20" s="40">
        <f>SUMIFS(Taival_WL!$H:$H,Taival_WL!$A:$A,"&gt;"&amp;L19,Taival_WL!$A:$A,"&lt;="&amp;M19)</f>
        <v>0</v>
      </c>
      <c r="N20" s="40">
        <f>SUMIFS(Taival_WL!$H:$H,Taival_WL!$A:$A,"&gt;"&amp;M19,Taival_WL!$A:$A,"&lt;="&amp;N19)</f>
        <v>0</v>
      </c>
      <c r="O20" s="42">
        <f t="array" ref="O20">IFERROR(_xlfn.LET(
        _xlpm.rng,B20:N20,
        _xlpm.lastCol,MAX(IF(ISNUMBER(_xlpm.rng)*(_xlpm.rng&lt;&gt;0),COLUMN(_xlpm.rng),0)),
        _xlpm.secondLastCol,MAX(IF((ISNUMBER(_xlpm.rng)*(_xlpm.rng&lt;&gt;0)*(COLUMN(_xlpm.rng)&lt;_xlpm.lastCol)),COLUMN(_xlpm.rng),0)),
        _xlpm.lastVal,INDEX(B20:N20,1,_xlpm.lastCol-1),
        _xlpm.secondLastVal,INDEX(B20:N20,1,_xlpm.secondLastCol-1),
        IF(OR(_xlpm.secondLastCol=0,_xlpm.lastCol=0),"-",(_xlpm.lastVal-_xlpm.secondLastVal)/ABS(_xlpm.secondLastVal))
    ),"-")</f>
        <v>-0.7404268675455116</v>
      </c>
      <c r="P20" s="40">
        <f t="shared" ref="P20:P22" si="1">SUM(B20:N20)</f>
        <v>5293</v>
      </c>
      <c r="R20" s="16"/>
      <c r="S20" s="16"/>
      <c r="T20" s="16"/>
      <c r="U20" s="16"/>
      <c r="V20" s="16"/>
    </row>
    <row r="21" spans="1:22" x14ac:dyDescent="0.25">
      <c r="A21" s="39" t="s">
        <v>20</v>
      </c>
      <c r="B21" s="46">
        <v>3697</v>
      </c>
      <c r="C21" s="40">
        <v>4970</v>
      </c>
      <c r="D21" s="47">
        <v>14388</v>
      </c>
      <c r="E21" s="47">
        <v>16730</v>
      </c>
      <c r="F21" s="47">
        <v>14879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2">
        <f t="array" ref="O21">IFERROR(_xlfn.LET(
        _xlpm.rng,B21:N21,
        _xlpm.lastCol,MAX(IF(ISNUMBER(_xlpm.rng)*(_xlpm.rng&lt;&gt;0),COLUMN(_xlpm.rng),0)),
        _xlpm.secondLastCol,MAX(IF((ISNUMBER(_xlpm.rng)*(_xlpm.rng&lt;&gt;0)*(COLUMN(_xlpm.rng)&lt;_xlpm.lastCol)),COLUMN(_xlpm.rng),0)),
        _xlpm.lastVal,INDEX(B21:N21,1,_xlpm.lastCol-1),
        _xlpm.secondLastVal,INDEX(B21:N21,1,_xlpm.secondLastCol-1),
        IF(OR(_xlpm.secondLastCol=0,_xlpm.lastCol=0),"-",(_xlpm.lastVal-_xlpm.secondLastVal)/ABS(_xlpm.secondLastVal))
    ),"-")</f>
        <v>-0.11063956963538553</v>
      </c>
      <c r="P21" s="40">
        <f t="shared" si="1"/>
        <v>54664</v>
      </c>
      <c r="R21" s="16"/>
      <c r="S21" s="16"/>
      <c r="T21" s="16"/>
      <c r="U21" s="16"/>
      <c r="V21" s="16"/>
    </row>
    <row r="22" spans="1:22" x14ac:dyDescent="0.25">
      <c r="A22" s="39" t="s">
        <v>21</v>
      </c>
      <c r="B22" s="40">
        <v>1276</v>
      </c>
      <c r="C22" s="40">
        <v>2020</v>
      </c>
      <c r="D22" s="47">
        <v>2147</v>
      </c>
      <c r="E22" s="47">
        <v>14587</v>
      </c>
      <c r="F22" s="47">
        <v>6087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2">
        <f t="array" ref="O22">IFERROR(_xlfn.LET(
        _xlpm.rng,B22:N22,
        _xlpm.lastCol,MAX(IF(ISNUMBER(_xlpm.rng)*(_xlpm.rng&lt;&gt;0),COLUMN(_xlpm.rng),0)),
        _xlpm.secondLastCol,MAX(IF((ISNUMBER(_xlpm.rng)*(_xlpm.rng&lt;&gt;0)*(COLUMN(_xlpm.rng)&lt;_xlpm.lastCol)),COLUMN(_xlpm.rng),0)),
        _xlpm.lastVal,INDEX(B22:N22,1,_xlpm.lastCol-1),
        _xlpm.secondLastVal,INDEX(B22:N22,1,_xlpm.secondLastCol-1),
        IF(OR(_xlpm.secondLastCol=0,_xlpm.lastCol=0),"-",(_xlpm.lastVal-_xlpm.secondLastVal)/ABS(_xlpm.secondLastVal))
    ),"-")</f>
        <v>-0.582710632755193</v>
      </c>
      <c r="P22" s="40">
        <f t="shared" si="1"/>
        <v>26117</v>
      </c>
      <c r="R22" s="16"/>
      <c r="S22" s="16"/>
      <c r="T22" s="16"/>
      <c r="U22" s="16"/>
      <c r="V22" s="16"/>
    </row>
    <row r="23" ht="15.75" customHeight="1" spans="1:16" x14ac:dyDescent="0.25">
      <c r="A23" s="34" t="s">
        <v>43</v>
      </c>
      <c r="B23" s="35" t="s">
        <v>47</v>
      </c>
      <c r="C23" s="35" t="s">
        <v>48</v>
      </c>
      <c r="D23" s="35" t="s">
        <v>49</v>
      </c>
      <c r="E23" s="35" t="s">
        <v>50</v>
      </c>
      <c r="F23" s="36" t="s">
        <v>51</v>
      </c>
      <c r="G23" s="35" t="s">
        <v>52</v>
      </c>
      <c r="H23" s="35" t="s">
        <v>53</v>
      </c>
      <c r="I23" s="35" t="s">
        <v>54</v>
      </c>
      <c r="J23" s="36" t="s">
        <v>55</v>
      </c>
      <c r="K23" s="36" t="s">
        <v>56</v>
      </c>
      <c r="L23" s="36" t="s">
        <v>57</v>
      </c>
      <c r="M23" s="36" t="s">
        <v>58</v>
      </c>
      <c r="N23" s="36" t="s">
        <v>59</v>
      </c>
      <c r="O23" s="37" t="s">
        <v>41</v>
      </c>
      <c r="P23" s="38" t="s">
        <v>42</v>
      </c>
    </row>
    <row r="24" spans="1:16" x14ac:dyDescent="0.25">
      <c r="A24" s="39" t="s">
        <v>19</v>
      </c>
      <c r="B24" s="40">
        <f>SUMIFS('Colossus - Eternal Blight_WL'!$H:$H,'Colossus - Eternal Blight_WL'!$A:$A,"&gt;"&amp;N6,'Colossus - Eternal Blight_WL'!$A:$A,"&lt;="&amp;B23)</f>
        <v>83</v>
      </c>
      <c r="C24" s="40">
        <f>SUMIFS('Colossus - Eternal Blight_WL'!$H:$H,'Colossus - Eternal Blight_WL'!$A:$A,"&gt;"&amp;B23,'Colossus - Eternal Blight_WL'!$A:$A,"&lt;="&amp;C23)</f>
        <v>92</v>
      </c>
      <c r="D24" s="40">
        <f>SUMIFS('Colossus - Eternal Blight_WL'!$H:$H,'Colossus - Eternal Blight_WL'!$A:$A,"&gt;"&amp;C23,'Colossus - Eternal Blight_WL'!$A:$A,"&lt;="&amp;D23)</f>
        <v>295</v>
      </c>
      <c r="E24" s="40">
        <f>SUMIFS('Colossus - Eternal Blight_WL'!$H:$H,'Colossus - Eternal Blight_WL'!$A:$A,"&gt;"&amp;D23,'Colossus - Eternal Blight_WL'!$A:$A,"&lt;="&amp;E23)</f>
        <v>514</v>
      </c>
      <c r="F24" s="40">
        <f>SUMIFS('Colossus - Eternal Blight_WL'!$H:$H,'Colossus - Eternal Blight_WL'!$A:$A,"&gt;"&amp;E23,'Colossus - Eternal Blight_WL'!$A:$A,"&lt;="&amp;F23)</f>
        <v>272</v>
      </c>
      <c r="G24" s="40">
        <f>SUMIFS('Colossus - Eternal Blight_WL'!$H:$H,'Colossus - Eternal Blight_WL'!$A:$A,"&gt;"&amp;F23,'Colossus - Eternal Blight_WL'!$A:$A,"&lt;="&amp;G23)</f>
        <v>0</v>
      </c>
      <c r="H24" s="40">
        <f>SUMIFS('Colossus - Eternal Blight_WL'!$H:$H,'Colossus - Eternal Blight_WL'!$A:$A,"&gt;"&amp;G23,'Colossus - Eternal Blight_WL'!$A:$A,"&lt;="&amp;H23)</f>
        <v>0</v>
      </c>
      <c r="I24" s="40">
        <f>SUMIFS('Colossus - Eternal Blight_WL'!$H:$H,'Colossus - Eternal Blight_WL'!$A:$A,"&gt;"&amp;H23,'Colossus - Eternal Blight_WL'!$A:$A,"&lt;="&amp;I23)</f>
        <v>0</v>
      </c>
      <c r="J24" s="40">
        <f>SUMIFS('Colossus - Eternal Blight_WL'!$H:$H,'Colossus - Eternal Blight_WL'!$A:$A,"&gt;"&amp;I23,'Colossus - Eternal Blight_WL'!$A:$A,"&lt;="&amp;J23)</f>
        <v>0</v>
      </c>
      <c r="K24" s="40">
        <f>SUMIFS('Colossus - Eternal Blight_WL'!$H:$H,'Colossus - Eternal Blight_WL'!$A:$A,"&gt;"&amp;J23,'Colossus - Eternal Blight_WL'!$A:$A,"&lt;="&amp;K23)</f>
        <v>0</v>
      </c>
      <c r="L24" s="40">
        <f>SUMIFS('Colossus - Eternal Blight_WL'!$H:$H,'Colossus - Eternal Blight_WL'!$A:$A,"&gt;"&amp;K23,'Colossus - Eternal Blight_WL'!$A:$A,"&lt;="&amp;L23)</f>
        <v>0</v>
      </c>
      <c r="M24" s="40">
        <f>SUMIFS('Colossus - Eternal Blight_WL'!$H:$H,'Colossus - Eternal Blight_WL'!$A:$A,"&gt;"&amp;L23,'Colossus - Eternal Blight_WL'!$A:$A,"&lt;="&amp;M23)</f>
        <v>0</v>
      </c>
      <c r="N24" s="40">
        <f>SUMIFS('Colossus - Eternal Blight_WL'!$H:$H,'Colossus - Eternal Blight_WL'!$A:$A,"&gt;"&amp;M23,'Colossus - Eternal Blight_WL'!$A:$A,"&lt;="&amp;N23)</f>
        <v>0</v>
      </c>
      <c r="O24" s="42">
        <f t="array" ref="O24">IFERROR(_xlfn.LET(
        _xlpm.rng,B24:N24,
        _xlpm.lastCol,MAX(IF(ISNUMBER(_xlpm.rng)*(_xlpm.rng&lt;&gt;0),COLUMN(_xlpm.rng),0)),
        _xlpm.secondLastCol,MAX(IF((ISNUMBER(_xlpm.rng)*(_xlpm.rng&lt;&gt;0)*(COLUMN(_xlpm.rng)&lt;_xlpm.lastCol)),COLUMN(_xlpm.rng),0)),
        _xlpm.lastVal,INDEX(B24:N24,1,_xlpm.lastCol-1),
        _xlpm.secondLastVal,INDEX(B24:N24,1,_xlpm.secondLastCol-1),
        IF(OR(_xlpm.secondLastCol=0,_xlpm.lastCol=0),"-",(_xlpm.lastVal-_xlpm.secondLastVal)/ABS(_xlpm.secondLastVal))
    ),"-")</f>
        <v>-0.4708171206225681</v>
      </c>
      <c r="P24" s="40">
        <f t="shared" ref="P24:P26" si="2">SUM(B24:N24)</f>
        <v>1256</v>
      </c>
    </row>
    <row r="25" spans="1:16" x14ac:dyDescent="0.25">
      <c r="A25" s="39" t="s">
        <v>20</v>
      </c>
      <c r="B25" s="46">
        <v>3631</v>
      </c>
      <c r="C25" s="46">
        <v>3253</v>
      </c>
      <c r="D25" s="48">
        <v>14258</v>
      </c>
      <c r="E25" s="47">
        <v>6946</v>
      </c>
      <c r="F25" s="49">
        <v>7164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2">
        <f t="array" ref="O25">IFERROR(_xlfn.LET(
        _xlpm.rng,B25:N25,
        _xlpm.lastCol,MAX(IF(ISNUMBER(_xlpm.rng)*(_xlpm.rng&lt;&gt;0),COLUMN(_xlpm.rng),0)),
        _xlpm.secondLastCol,MAX(IF((ISNUMBER(_xlpm.rng)*(_xlpm.rng&lt;&gt;0)*(COLUMN(_xlpm.rng)&lt;_xlpm.lastCol)),COLUMN(_xlpm.rng),0)),
        _xlpm.lastVal,INDEX(B25:N25,1,_xlpm.lastCol-1),
        _xlpm.secondLastVal,INDEX(B25:N25,1,_xlpm.secondLastCol-1),
        IF(OR(_xlpm.secondLastCol=0,_xlpm.lastCol=0),"-",(_xlpm.lastVal-_xlpm.secondLastVal)/ABS(_xlpm.secondLastVal))
    ),"-")</f>
        <v>0.03138496976677224</v>
      </c>
      <c r="P25" s="40">
        <f t="shared" si="2"/>
        <v>35252</v>
      </c>
    </row>
    <row r="26" spans="1:16" x14ac:dyDescent="0.25">
      <c r="A26" s="39" t="s">
        <v>21</v>
      </c>
      <c r="B26" s="46">
        <v>887</v>
      </c>
      <c r="C26" s="46">
        <v>839</v>
      </c>
      <c r="D26" s="48">
        <v>1232</v>
      </c>
      <c r="E26" s="49">
        <v>1542</v>
      </c>
      <c r="F26" s="49">
        <v>1502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2">
        <f t="array" ref="O26">IFERROR(_xlfn.LET(
        _xlpm.rng,B26:N26,
        _xlpm.lastCol,MAX(IF(ISNUMBER(_xlpm.rng)*(_xlpm.rng&lt;&gt;0),COLUMN(_xlpm.rng),0)),
        _xlpm.secondLastCol,MAX(IF((ISNUMBER(_xlpm.rng)*(_xlpm.rng&lt;&gt;0)*(COLUMN(_xlpm.rng)&lt;_xlpm.lastCol)),COLUMN(_xlpm.rng),0)),
        _xlpm.lastVal,INDEX(B26:N26,1,_xlpm.lastCol-1),
        _xlpm.secondLastVal,INDEX(B26:N26,1,_xlpm.secondLastCol-1),
        IF(OR(_xlpm.secondLastCol=0,_xlpm.lastCol=0),"-",(_xlpm.lastVal-_xlpm.secondLastVal)/ABS(_xlpm.secondLastVal))
    ),"-")</f>
        <v>-0.02594033722438392</v>
      </c>
      <c r="P26" s="40">
        <f t="shared" si="2"/>
        <v>6002</v>
      </c>
    </row>
    <row r="27" ht="15.75" customHeight="1" spans="1:16" x14ac:dyDescent="0.25">
      <c r="A27" s="34" t="s">
        <v>44</v>
      </c>
      <c r="B27" s="35" t="s">
        <v>47</v>
      </c>
      <c r="C27" s="35" t="s">
        <v>48</v>
      </c>
      <c r="D27" s="35" t="s">
        <v>49</v>
      </c>
      <c r="E27" s="35" t="s">
        <v>50</v>
      </c>
      <c r="F27" s="36" t="s">
        <v>51</v>
      </c>
      <c r="G27" s="35" t="s">
        <v>52</v>
      </c>
      <c r="H27" s="35" t="s">
        <v>53</v>
      </c>
      <c r="I27" s="35" t="s">
        <v>54</v>
      </c>
      <c r="J27" s="36" t="s">
        <v>55</v>
      </c>
      <c r="K27" s="36" t="s">
        <v>56</v>
      </c>
      <c r="L27" s="36" t="s">
        <v>57</v>
      </c>
      <c r="M27" s="36" t="s">
        <v>58</v>
      </c>
      <c r="N27" s="36" t="s">
        <v>59</v>
      </c>
      <c r="O27" s="37" t="s">
        <v>41</v>
      </c>
      <c r="P27" s="38" t="s">
        <v>42</v>
      </c>
    </row>
    <row r="28" spans="1:16" x14ac:dyDescent="0.25">
      <c r="A28" s="39" t="s">
        <v>19</v>
      </c>
      <c r="B28" s="40">
        <f>SUMIFS('Petunia''s Purgatory_WL'!$H:$H,'Petunia''s Purgatory_WL'!$A:$A,"&gt;"&amp;N10,'Petunia''s Purgatory_WL'!$A:$A,"&lt;="&amp;B27)</f>
        <v>41</v>
      </c>
      <c r="C28" s="40">
        <f>SUMIFS('Petunia''s Purgatory_WL'!$H:$H,'Petunia''s Purgatory_WL'!$A:$A,"&gt;"&amp;B27,'Petunia''s Purgatory_WL'!$A:$A,"&lt;="&amp;C27)</f>
        <v>35</v>
      </c>
      <c r="D28" s="40">
        <f>SUMIFS('Petunia''s Purgatory_WL'!$H:$H,'Petunia''s Purgatory_WL'!$A:$A,"&gt;"&amp;C27,'Petunia''s Purgatory_WL'!$A:$A,"&lt;="&amp;D27)</f>
        <v>28</v>
      </c>
      <c r="E28" s="40">
        <f>SUMIFS('Petunia''s Purgatory_WL'!$H:$H,'Petunia''s Purgatory_WL'!$A:$A,"&gt;"&amp;D27,'Petunia''s Purgatory_WL'!$A:$A,"&lt;="&amp;E27)</f>
        <v>26</v>
      </c>
      <c r="F28" s="40">
        <f>SUMIFS('Petunia''s Purgatory_WL'!$H:$H,'Petunia''s Purgatory_WL'!$A:$A,"&gt;"&amp;E27,'Petunia''s Purgatory_WL'!$A:$A,"&lt;="&amp;F27)</f>
        <v>14</v>
      </c>
      <c r="G28" s="40">
        <f>SUMIFS('Petunia''s Purgatory_WL'!$H:$H,'Petunia''s Purgatory_WL'!$A:$A,"&gt;"&amp;F27,'Petunia''s Purgatory_WL'!$A:$A,"&lt;="&amp;G27)</f>
        <v>0</v>
      </c>
      <c r="H28" s="40">
        <f>SUMIFS('Petunia''s Purgatory_WL'!$H:$H,'Petunia''s Purgatory_WL'!$A:$A,"&gt;"&amp;G27,'Petunia''s Purgatory_WL'!$A:$A,"&lt;="&amp;H27)</f>
        <v>0</v>
      </c>
      <c r="I28" s="40">
        <f>SUMIFS('Petunia''s Purgatory_WL'!$H:$H,'Petunia''s Purgatory_WL'!$A:$A,"&gt;"&amp;H27,'Petunia''s Purgatory_WL'!$A:$A,"&lt;="&amp;I27)</f>
        <v>0</v>
      </c>
      <c r="J28" s="40">
        <f>SUMIFS('Petunia''s Purgatory_WL'!$H:$H,'Petunia''s Purgatory_WL'!$A:$A,"&gt;"&amp;I27,'Petunia''s Purgatory_WL'!$A:$A,"&lt;="&amp;J27)</f>
        <v>0</v>
      </c>
      <c r="K28" s="40">
        <f>SUMIFS('Petunia''s Purgatory_WL'!$H:$H,'Petunia''s Purgatory_WL'!$A:$A,"&gt;"&amp;J27,'Petunia''s Purgatory_WL'!$A:$A,"&lt;="&amp;K27)</f>
        <v>0</v>
      </c>
      <c r="L28" s="40">
        <f>SUMIFS('Petunia''s Purgatory_WL'!$H:$H,'Petunia''s Purgatory_WL'!$A:$A,"&gt;"&amp;K27,'Petunia''s Purgatory_WL'!$A:$A,"&lt;="&amp;L27)</f>
        <v>0</v>
      </c>
      <c r="M28" s="40">
        <f>SUMIFS('Petunia''s Purgatory_WL'!$H:$H,'Petunia''s Purgatory_WL'!$A:$A,"&gt;"&amp;L27,'Petunia''s Purgatory_WL'!$A:$A,"&lt;="&amp;M27)</f>
        <v>0</v>
      </c>
      <c r="N28" s="40">
        <f>SUMIFS('Petunia''s Purgatory_WL'!$H:$H,'Petunia''s Purgatory_WL'!$A:$A,"&gt;"&amp;M27,'Petunia''s Purgatory_WL'!$A:$A,"&lt;="&amp;N27)</f>
        <v>0</v>
      </c>
      <c r="O28" s="42">
        <f t="array" ref="O28">IFERROR(_xlfn.LET(
        _xlpm.rng,B28:N28,
        _xlpm.lastCol,MAX(IF(ISNUMBER(_xlpm.rng)*(_xlpm.rng&lt;&gt;0),COLUMN(_xlpm.rng),0)),
        _xlpm.secondLastCol,MAX(IF((ISNUMBER(_xlpm.rng)*(_xlpm.rng&lt;&gt;0)*(COLUMN(_xlpm.rng)&lt;_xlpm.lastCol)),COLUMN(_xlpm.rng),0)),
        _xlpm.lastVal,INDEX(B28:N28,1,_xlpm.lastCol-1),
        _xlpm.secondLastVal,INDEX(B28:N28,1,_xlpm.secondLastCol-1),
        IF(OR(_xlpm.secondLastCol=0,_xlpm.lastCol=0),"-",(_xlpm.lastVal-_xlpm.secondLastVal)/ABS(_xlpm.secondLastVal))
    ),"-")</f>
        <v>-0.46153846153846156</v>
      </c>
      <c r="P28" s="40">
        <f t="shared" ref="P28:P30" si="3">SUM(B28:N28)</f>
        <v>144</v>
      </c>
    </row>
    <row r="29" spans="1:16" x14ac:dyDescent="0.25">
      <c r="A29" s="39" t="s">
        <v>20</v>
      </c>
      <c r="B29" s="46">
        <v>3364</v>
      </c>
      <c r="C29" s="46">
        <v>3463</v>
      </c>
      <c r="D29" s="48">
        <v>2997</v>
      </c>
      <c r="E29" s="47">
        <v>2844</v>
      </c>
      <c r="F29" s="47">
        <v>2837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2">
        <f t="array" ref="O29">IFERROR(_xlfn.LET(
        _xlpm.rng,B29:N29,
        _xlpm.lastCol,MAX(IF(ISNUMBER(_xlpm.rng)*(_xlpm.rng&lt;&gt;0),COLUMN(_xlpm.rng),0)),
        _xlpm.secondLastCol,MAX(IF((ISNUMBER(_xlpm.rng)*(_xlpm.rng&lt;&gt;0)*(COLUMN(_xlpm.rng)&lt;_xlpm.lastCol)),COLUMN(_xlpm.rng),0)),
        _xlpm.lastVal,INDEX(B29:N29,1,_xlpm.lastCol-1),
        _xlpm.secondLastVal,INDEX(B29:N29,1,_xlpm.secondLastCol-1),
        IF(OR(_xlpm.secondLastCol=0,_xlpm.lastCol=0),"-",(_xlpm.lastVal-_xlpm.secondLastVal)/ABS(_xlpm.secondLastVal))
    ),"-")</f>
        <v>-0.0024613220815752463</v>
      </c>
      <c r="P29" s="40">
        <f t="shared" si="3"/>
        <v>15505</v>
      </c>
    </row>
    <row r="30" spans="1:16" x14ac:dyDescent="0.25">
      <c r="A30" s="39" t="s">
        <v>21</v>
      </c>
      <c r="B30" s="46">
        <v>5782</v>
      </c>
      <c r="C30" s="46">
        <v>7678</v>
      </c>
      <c r="D30" s="48">
        <v>5615</v>
      </c>
      <c r="E30" s="47">
        <v>5242</v>
      </c>
      <c r="F30" s="47">
        <v>7094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2">
        <f t="array" ref="O30">IFERROR(_xlfn.LET(
        _xlpm.rng,B30:N30,
        _xlpm.lastCol,MAX(IF(ISNUMBER(_xlpm.rng)*(_xlpm.rng&lt;&gt;0),COLUMN(_xlpm.rng),0)),
        _xlpm.secondLastCol,MAX(IF((ISNUMBER(_xlpm.rng)*(_xlpm.rng&lt;&gt;0)*(COLUMN(_xlpm.rng)&lt;_xlpm.lastCol)),COLUMN(_xlpm.rng),0)),
        _xlpm.lastVal,INDEX(B30:N30,1,_xlpm.lastCol-1),
        _xlpm.secondLastVal,INDEX(B30:N30,1,_xlpm.secondLastCol-1),
        IF(OR(_xlpm.secondLastCol=0,_xlpm.lastCol=0),"-",(_xlpm.lastVal-_xlpm.secondLastVal)/ABS(_xlpm.secondLastVal))
    ),"-")</f>
        <v>0.35330026707363604</v>
      </c>
      <c r="P30" s="40">
        <f t="shared" si="3"/>
        <v>31411</v>
      </c>
    </row>
    <row r="31" ht="15.75" customHeight="1" spans="1:16" x14ac:dyDescent="0.25">
      <c r="A31" s="34" t="s">
        <v>17</v>
      </c>
      <c r="B31" s="35" t="s">
        <v>47</v>
      </c>
      <c r="C31" s="35" t="s">
        <v>48</v>
      </c>
      <c r="D31" s="35" t="s">
        <v>49</v>
      </c>
      <c r="E31" s="35" t="s">
        <v>50</v>
      </c>
      <c r="F31" s="36" t="s">
        <v>51</v>
      </c>
      <c r="G31" s="35" t="s">
        <v>52</v>
      </c>
      <c r="H31" s="36" t="s">
        <v>60</v>
      </c>
      <c r="I31" s="36" t="s">
        <v>61</v>
      </c>
      <c r="J31" s="35" t="s">
        <v>62</v>
      </c>
      <c r="K31" s="36" t="s">
        <v>63</v>
      </c>
      <c r="L31" s="36" t="s">
        <v>64</v>
      </c>
      <c r="M31" s="36" t="s">
        <v>65</v>
      </c>
      <c r="N31" s="36" t="s">
        <v>66</v>
      </c>
      <c r="O31" s="37" t="s">
        <v>41</v>
      </c>
      <c r="P31" s="38" t="s">
        <v>42</v>
      </c>
    </row>
    <row r="32" spans="1:16" x14ac:dyDescent="0.25">
      <c r="A32" s="39" t="s">
        <v>19</v>
      </c>
      <c r="B32" s="40">
        <f>SUMIFS(Fleetbreakers_WL!$H:$H,Fleetbreakers_WL!$A:$A,"&gt;"&amp;N14,Fleetbreakers_WL!$A:$A,"&lt;="&amp;B31)</f>
        <v>8</v>
      </c>
      <c r="C32" s="40">
        <f>SUMIFS(Fleetbreakers_WL!$H:$H,Fleetbreakers_WL!$A:$A,"&gt;"&amp;B31,Fleetbreakers_WL!$A:$A,"&lt;="&amp;C31)</f>
        <v>8</v>
      </c>
      <c r="D32" s="40">
        <f>SUMIFS(Fleetbreakers_WL!$H:$H,Fleetbreakers_WL!$A:$A,"&gt;"&amp;C31,Fleetbreakers_WL!$A:$A,"&lt;="&amp;D31)</f>
        <v>-4</v>
      </c>
      <c r="E32" s="40">
        <f>SUMIFS(Fleetbreakers_WL!$H:$H,Fleetbreakers_WL!$A:$A,"&gt;"&amp;D31,Fleetbreakers_WL!$A:$A,"&lt;="&amp;E31)</f>
        <v>-2</v>
      </c>
      <c r="F32" s="40">
        <f>SUMIFS(Fleetbreakers_WL!$H:$H,Fleetbreakers_WL!$A:$A,"&gt;"&amp;E31,Fleetbreakers_WL!$A:$A,"&lt;="&amp;F31)</f>
        <v>15</v>
      </c>
      <c r="G32" s="40">
        <f>SUMIFS(Fleetbreakers_WL!$H:$H,Fleetbreakers_WL!$A:$A,"&gt;"&amp;F31,Fleetbreakers_WL!$A:$A,"&lt;="&amp;G31)</f>
        <v>0</v>
      </c>
      <c r="H32" s="40">
        <f>SUMIFS(Fleetbreakers_WL!$H:$H,Fleetbreakers_WL!$A:$A,"&gt;"&amp;G31,Fleetbreakers_WL!$A:$A,"&lt;="&amp;H31)</f>
        <v>0</v>
      </c>
      <c r="I32" s="40">
        <f>SUMIFS(Fleetbreakers_WL!$H:$H,Fleetbreakers_WL!$A:$A,"&gt;"&amp;H31,Fleetbreakers_WL!$A:$A,"&lt;="&amp;I31)</f>
        <v>0</v>
      </c>
      <c r="J32" s="40">
        <f>SUMIFS(Fleetbreakers_WL!$H:$H,Fleetbreakers_WL!$A:$A,"&gt;"&amp;I31,Fleetbreakers_WL!$A:$A,"&lt;="&amp;J31)</f>
        <v>0</v>
      </c>
      <c r="K32" s="40">
        <f>SUMIFS(Fleetbreakers_WL!$H:$H,Fleetbreakers_WL!$A:$A,"&gt;"&amp;J31,Fleetbreakers_WL!$A:$A,"&lt;="&amp;K31)</f>
        <v>0</v>
      </c>
      <c r="L32" s="40">
        <f>SUMIFS(Fleetbreakers_WL!$H:$H,Fleetbreakers_WL!$A:$A,"&gt;"&amp;K31,Fleetbreakers_WL!$A:$A,"&lt;="&amp;L31)</f>
        <v>0</v>
      </c>
      <c r="M32" s="40">
        <f>SUMIFS(Fleetbreakers_WL!$H:$H,Fleetbreakers_WL!$A:$A,"&gt;"&amp;L31,Fleetbreakers_WL!$A:$A,"&lt;="&amp;M31)</f>
        <v>0</v>
      </c>
      <c r="N32" s="40">
        <f>SUMIFS(Fleetbreakers_WL!$H:$H,Fleetbreakers_WL!$A:$A,"&gt;"&amp;M31,Fleetbreakers_WL!$A:$A,"&lt;="&amp;N31)</f>
        <v>0</v>
      </c>
      <c r="O32" s="42">
        <f t="array" ref="O32">IFERROR(_xlfn.LET(
        _xlpm.rng,B32:N32,
        _xlpm.lastCol,MAX(IF(ISNUMBER(_xlpm.rng)*(_xlpm.rng&lt;&gt;0),COLUMN(_xlpm.rng),0)),
        _xlpm.secondLastCol,MAX(IF((ISNUMBER(_xlpm.rng)*(_xlpm.rng&lt;&gt;0)*(COLUMN(_xlpm.rng)&lt;_xlpm.lastCol)),COLUMN(_xlpm.rng),0)),
        _xlpm.lastVal,INDEX(B32:N32,1,_xlpm.lastCol-1),
        _xlpm.secondLastVal,INDEX(B32:N32,1,_xlpm.secondLastCol-1),
        IF(OR(_xlpm.secondLastCol=0,_xlpm.lastCol=0),"-",(_xlpm.lastVal-_xlpm.secondLastVal)/ABS(_xlpm.secondLastVal))
    ),"-")</f>
        <v>8.5</v>
      </c>
      <c r="P32" s="40">
        <f t="shared" ref="P32:P34" si="4">SUM(B32:N32)</f>
        <v>25</v>
      </c>
    </row>
    <row r="33" spans="1:16" x14ac:dyDescent="0.25">
      <c r="A33" s="39" t="s">
        <v>20</v>
      </c>
      <c r="B33" s="46">
        <v>3652</v>
      </c>
      <c r="C33" s="46">
        <v>3825</v>
      </c>
      <c r="D33" s="48">
        <v>5291</v>
      </c>
      <c r="E33" s="47">
        <v>4857</v>
      </c>
      <c r="F33" s="47">
        <v>6270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2">
        <f t="array" ref="O33">IFERROR(_xlfn.LET(
        _xlpm.rng,B33:N33,
        _xlpm.lastCol,MAX(IF(ISNUMBER(_xlpm.rng)*(_xlpm.rng&lt;&gt;0),COLUMN(_xlpm.rng),0)),
        _xlpm.secondLastCol,MAX(IF((ISNUMBER(_xlpm.rng)*(_xlpm.rng&lt;&gt;0)*(COLUMN(_xlpm.rng)&lt;_xlpm.lastCol)),COLUMN(_xlpm.rng),0)),
        _xlpm.lastVal,INDEX(B33:N33,1,_xlpm.lastCol-1),
        _xlpm.secondLastVal,INDEX(B33:N33,1,_xlpm.secondLastCol-1),
        IF(OR(_xlpm.secondLastCol=0,_xlpm.lastCol=0),"-",(_xlpm.lastVal-_xlpm.secondLastVal)/ABS(_xlpm.secondLastVal))
    ),"-")</f>
        <v>0.2909203211859172</v>
      </c>
      <c r="P33" s="40">
        <f t="shared" si="4"/>
        <v>23895</v>
      </c>
    </row>
    <row r="34" ht="15.75" customHeight="1" spans="1:16" x14ac:dyDescent="0.25">
      <c r="A34" s="39" t="s">
        <v>21</v>
      </c>
      <c r="B34" s="46">
        <v>783</v>
      </c>
      <c r="C34" s="46">
        <v>790</v>
      </c>
      <c r="D34" s="46">
        <v>614</v>
      </c>
      <c r="E34" s="40">
        <v>891</v>
      </c>
      <c r="F34" s="47">
        <v>1106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2">
        <f t="array" ref="O34">IFERROR(_xlfn.LET(
        _xlpm.rng,B34:N34,
        _xlpm.lastCol,MAX(IF(ISNUMBER(_xlpm.rng)*(_xlpm.rng&lt;&gt;0),COLUMN(_xlpm.rng),0)),
        _xlpm.secondLastCol,MAX(IF((ISNUMBER(_xlpm.rng)*(_xlpm.rng&lt;&gt;0)*(COLUMN(_xlpm.rng)&lt;_xlpm.lastCol)),COLUMN(_xlpm.rng),0)),
        _xlpm.lastVal,INDEX(B34:N34,1,_xlpm.lastCol-1),
        _xlpm.secondLastVal,INDEX(B34:N34,1,_xlpm.secondLastCol-1),
        IF(OR(_xlpm.secondLastCol=0,_xlpm.lastCol=0),"-",(_xlpm.lastVal-_xlpm.secondLastVal)/ABS(_xlpm.secondLastVal))
    ),"-")</f>
        <v>0.24130190796857465</v>
      </c>
      <c r="P34" s="40">
        <f t="shared" si="4"/>
        <v>4184</v>
      </c>
    </row>
    <row r="35" ht="16.5" customHeight="1" spans="1:16" x14ac:dyDescent="0.25">
      <c r="A35" s="32" t="s">
        <v>67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 t="s">
        <v>27</v>
      </c>
    </row>
    <row r="36" ht="16.5" customHeight="1" spans="1:16" x14ac:dyDescent="0.25">
      <c r="A36" s="34" t="s">
        <v>14</v>
      </c>
      <c r="B36" s="35" t="s">
        <v>68</v>
      </c>
      <c r="C36" s="35" t="s">
        <v>69</v>
      </c>
      <c r="D36" s="35" t="s">
        <v>70</v>
      </c>
      <c r="E36" s="35" t="s">
        <v>71</v>
      </c>
      <c r="F36" s="36" t="s">
        <v>72</v>
      </c>
      <c r="G36" s="35" t="s">
        <v>73</v>
      </c>
      <c r="H36" s="35" t="s">
        <v>74</v>
      </c>
      <c r="I36" s="35" t="s">
        <v>75</v>
      </c>
      <c r="J36" s="36" t="s">
        <v>76</v>
      </c>
      <c r="K36" s="36" t="s">
        <v>77</v>
      </c>
      <c r="L36" s="36" t="s">
        <v>78</v>
      </c>
      <c r="M36" s="36" t="s">
        <v>79</v>
      </c>
      <c r="N36" s="36" t="s">
        <v>80</v>
      </c>
      <c r="O36" s="37" t="s">
        <v>41</v>
      </c>
      <c r="P36" s="38" t="s">
        <v>42</v>
      </c>
    </row>
    <row r="37" spans="1:16" x14ac:dyDescent="0.25">
      <c r="A37" s="39" t="s">
        <v>19</v>
      </c>
      <c r="B37" s="40">
        <f>SUMIF(Taival_WL!$A:$A,"&lt;="&amp;B36,Taival_WL!$H:$H)-SUMIF(Taival_WL!$A:$A,"&lt;="&amp;N19,Taival_WL!$H:$H)</f>
        <v>0</v>
      </c>
      <c r="C37" s="40">
        <f>SUMIFS(Taival_WL!$H:$H,Taival_WL!$A:$A,"&gt;"&amp;B36,Taival_WL!$A:$A,"&lt;="&amp;C36)</f>
        <v>0</v>
      </c>
      <c r="D37" s="40">
        <f>SUMIFS(Taival_WL!$H:$H,Taival_WL!$A:$A,"&gt;"&amp;C36,Taival_WL!$A:$A,"&lt;="&amp;D36)</f>
        <v>0</v>
      </c>
      <c r="E37" s="40">
        <f>SUMIFS(Taival_WL!$H:$H,Taival_WL!$A:$A,"&gt;"&amp;D36,Taival_WL!$A:$A,"&lt;="&amp;E36)</f>
        <v>0</v>
      </c>
      <c r="F37" s="41">
        <f>SUMIFS(Taival_WL!$H:$H,Taival_WL!$A:$A,"&gt;"&amp;E36,Taival_WL!$A:$A,"&lt;="&amp;F36)</f>
        <v>0</v>
      </c>
      <c r="G37" s="40">
        <f>SUMIFS(Taival_WL!$H:$H,Taival_WL!$A:$A,"&gt;"&amp;F36,Taival_WL!$A:$A,"&lt;="&amp;G36)</f>
        <v>0</v>
      </c>
      <c r="H37" s="40">
        <f>SUMIFS(Taival_WL!$H:$H,Taival_WL!$A:$A,"&gt;"&amp;G36,Taival_WL!$A:$A,"&lt;="&amp;H36)</f>
        <v>0</v>
      </c>
      <c r="I37" s="40">
        <f>SUMIFS(Taival_WL!$H:$H,Taival_WL!$A:$A,"&gt;"&amp;H36,Taival_WL!$A:$A,"&lt;="&amp;I36)</f>
        <v>0</v>
      </c>
      <c r="J37" s="41">
        <f>SUMIFS(Taival_WL!$H:$H,Taival_WL!$A:$A,"&gt;"&amp;I36,Taival_WL!$A:$A,"&lt;="&amp;J36)</f>
        <v>0</v>
      </c>
      <c r="K37" s="40">
        <f>SUMIFS(Taival_WL!$H:$H,Taival_WL!$A:$A,"&gt;"&amp;J36,Taival_WL!$A:$A,"&lt;="&amp;K36)</f>
        <v>0</v>
      </c>
      <c r="L37" s="40">
        <f>SUMIFS(Taival_WL!$H:$H,Taival_WL!$A:$A,"&gt;"&amp;K36,Taival_WL!$A:$A,"&lt;="&amp;L36)</f>
        <v>0</v>
      </c>
      <c r="M37" s="40">
        <f>SUMIFS(Taival_WL!$H:$H,Taival_WL!$A:$A,"&gt;"&amp;L36,Taival_WL!$A:$A,"&lt;="&amp;M36)</f>
        <v>0</v>
      </c>
      <c r="N37" s="40">
        <f>SUMIFS(Taival_WL!$H:$H,Taival_WL!$A:$A,"&gt;"&amp;M36,Taival_WL!$A:$A,"&lt;="&amp;N36)</f>
        <v>0</v>
      </c>
      <c r="O37" s="50" t="str">
        <f t="array" ref="O37">IFERROR(_xlfn.LET(
        _xlpm.rng,B37:N37,
        _xlpm.lastCol,MAX(IF(ISNUMBER(_xlpm.rng)*(_xlpm.rng&lt;&gt;0),COLUMN(_xlpm.rng),0)),
        _xlpm.secondLastCol,MAX(IF((ISNUMBER(_xlpm.rng)*(_xlpm.rng&lt;&gt;0)*(COLUMN(_xlpm.rng)&lt;_xlpm.lastCol)),COLUMN(_xlpm.rng),0)),
        _xlpm.lastVal,INDEX(B37:N37,1,_xlpm.lastCol-1),
        _xlpm.secondLastVal,INDEX(B37:N37,1,_xlpm.secondLastCol-1),
        IF(OR(_xlpm.secondLastCol=0,_xlpm.lastCol=0),"-",(_xlpm.lastVal-_xlpm.secondLastVal)/ABS(_xlpm.secondLastVal))
    ),"-")</f>
        <v>-</v>
      </c>
      <c r="P37" s="40">
        <f t="shared" ref="P37:P39" si="5">SUM(B37:N37)</f>
        <v>0</v>
      </c>
    </row>
    <row r="38" spans="1:16" x14ac:dyDescent="0.25">
      <c r="A38" s="39" t="s">
        <v>20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50" t="str">
        <f t="array" ref="O38">IFERROR(_xlfn.LET(
        _xlpm.rng,B38:N38,
        _xlpm.lastCol,MAX(IF(ISNUMBER(_xlpm.rng)*(_xlpm.rng&lt;&gt;0),COLUMN(_xlpm.rng),0)),
        _xlpm.secondLastCol,MAX(IF((ISNUMBER(_xlpm.rng)*(_xlpm.rng&lt;&gt;0)*(COLUMN(_xlpm.rng)&lt;_xlpm.lastCol)),COLUMN(_xlpm.rng),0)),
        _xlpm.lastVal,INDEX(B38:N38,1,_xlpm.lastCol-1),
        _xlpm.secondLastVal,INDEX(B38:N38,1,_xlpm.secondLastCol-1),
        IF(OR(_xlpm.secondLastCol=0,_xlpm.lastCol=0),"-",(_xlpm.lastVal-_xlpm.secondLastVal)/ABS(_xlpm.secondLastVal))
    ),"-")</f>
        <v>-</v>
      </c>
      <c r="P38" s="40">
        <f t="shared" si="5"/>
        <v>0</v>
      </c>
    </row>
    <row r="39" spans="1:16" x14ac:dyDescent="0.25">
      <c r="A39" s="39" t="s">
        <v>21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50" t="str">
        <f t="array" ref="O39">IFERROR(_xlfn.LET(
        _xlpm.rng,B39:N39,
        _xlpm.lastCol,MAX(IF(ISNUMBER(_xlpm.rng)*(_xlpm.rng&lt;&gt;0),COLUMN(_xlpm.rng),0)),
        _xlpm.secondLastCol,MAX(IF((ISNUMBER(_xlpm.rng)*(_xlpm.rng&lt;&gt;0)*(COLUMN(_xlpm.rng)&lt;_xlpm.lastCol)),COLUMN(_xlpm.rng),0)),
        _xlpm.lastVal,INDEX(B39:N39,1,_xlpm.lastCol-1),
        _xlpm.secondLastVal,INDEX(B39:N39,1,_xlpm.secondLastCol-1),
        IF(OR(_xlpm.secondLastCol=0,_xlpm.lastCol=0),"-",(_xlpm.lastVal-_xlpm.secondLastVal)/ABS(_xlpm.secondLastVal))
    ),"-")</f>
        <v>-</v>
      </c>
      <c r="P39" s="40">
        <f t="shared" si="5"/>
        <v>0</v>
      </c>
    </row>
    <row r="40" ht="15.75" customHeight="1" spans="1:16" x14ac:dyDescent="0.25">
      <c r="A40" s="34" t="s">
        <v>43</v>
      </c>
      <c r="B40" s="35" t="s">
        <v>68</v>
      </c>
      <c r="C40" s="35" t="s">
        <v>69</v>
      </c>
      <c r="D40" s="35" t="s">
        <v>70</v>
      </c>
      <c r="E40" s="35" t="s">
        <v>71</v>
      </c>
      <c r="F40" s="36" t="s">
        <v>72</v>
      </c>
      <c r="G40" s="35" t="s">
        <v>73</v>
      </c>
      <c r="H40" s="35" t="s">
        <v>74</v>
      </c>
      <c r="I40" s="35" t="s">
        <v>75</v>
      </c>
      <c r="J40" s="36" t="s">
        <v>76</v>
      </c>
      <c r="K40" s="36" t="s">
        <v>77</v>
      </c>
      <c r="L40" s="36" t="s">
        <v>78</v>
      </c>
      <c r="M40" s="36" t="s">
        <v>79</v>
      </c>
      <c r="N40" s="36" t="s">
        <v>80</v>
      </c>
      <c r="O40" s="37" t="s">
        <v>41</v>
      </c>
      <c r="P40" s="38" t="s">
        <v>42</v>
      </c>
    </row>
    <row r="41" ht="15.75" customHeight="1" spans="1:21" x14ac:dyDescent="0.25">
      <c r="A41" s="39" t="s">
        <v>19</v>
      </c>
      <c r="B41" s="40">
        <f>SUMIF(Taival_WL!$A:$A,"&lt;="&amp;B40,Taival_WL!$H:$H)-SUMIF(Taival_WL!$A:$A,"&lt;="&amp;N23,Taival_WL!$H:$H)</f>
        <v>0</v>
      </c>
      <c r="C41" s="40">
        <f>SUMIFS(Taival_WL!$H:$H,Taival_WL!$A:$A,"&gt;"&amp;B40,Taival_WL!$A:$A,"&lt;="&amp;C40)</f>
        <v>0</v>
      </c>
      <c r="D41" s="40">
        <f>SUMIFS(Taival_WL!$H:$H,Taival_WL!$A:$A,"&gt;"&amp;C40,Taival_WL!$A:$A,"&lt;="&amp;D40)</f>
        <v>0</v>
      </c>
      <c r="E41" s="40">
        <f>SUMIFS(Taival_WL!$H:$H,Taival_WL!$A:$A,"&gt;"&amp;D40,Taival_WL!$A:$A,"&lt;="&amp;E40)</f>
        <v>0</v>
      </c>
      <c r="F41" s="41">
        <f>SUMIFS(Taival_WL!$H:$H,Taival_WL!$A:$A,"&gt;"&amp;E40,Taival_WL!$A:$A,"&lt;="&amp;F40)</f>
        <v>0</v>
      </c>
      <c r="G41" s="40">
        <f>SUMIFS(Taival_WL!$H:$H,Taival_WL!$A:$A,"&gt;"&amp;F40,Taival_WL!$A:$A,"&lt;="&amp;G40)</f>
        <v>0</v>
      </c>
      <c r="H41" s="40">
        <f>SUMIFS(Taival_WL!$H:$H,Taival_WL!$A:$A,"&gt;"&amp;G40,Taival_WL!$A:$A,"&lt;="&amp;H40)</f>
        <v>0</v>
      </c>
      <c r="I41" s="40">
        <f>SUMIFS(Taival_WL!$H:$H,Taival_WL!$A:$A,"&gt;"&amp;H40,Taival_WL!$A:$A,"&lt;="&amp;I40)</f>
        <v>0</v>
      </c>
      <c r="J41" s="41">
        <f>SUMIFS(Taival_WL!$H:$H,Taival_WL!$A:$A,"&gt;"&amp;I40,Taival_WL!$A:$A,"&lt;="&amp;J40)</f>
        <v>0</v>
      </c>
      <c r="K41" s="40">
        <f>SUMIFS(Taival_WL!$H:$H,Taival_WL!$A:$A,"&gt;"&amp;J40,Taival_WL!$A:$A,"&lt;="&amp;K40)</f>
        <v>0</v>
      </c>
      <c r="L41" s="40">
        <f>SUMIFS(Taival_WL!$H:$H,Taival_WL!$A:$A,"&gt;"&amp;K40,Taival_WL!$A:$A,"&lt;="&amp;L40)</f>
        <v>0</v>
      </c>
      <c r="M41" s="40">
        <f>SUMIFS(Taival_WL!$H:$H,Taival_WL!$A:$A,"&gt;"&amp;L40,Taival_WL!$A:$A,"&lt;="&amp;M40)</f>
        <v>0</v>
      </c>
      <c r="N41" s="40">
        <f>SUMIFS(Taival_WL!$H:$H,Taival_WL!$A:$A,"&gt;"&amp;M40,Taival_WL!$A:$A,"&lt;="&amp;N40)</f>
        <v>0</v>
      </c>
      <c r="O41" s="51" t="str">
        <f t="array" ref="O41">IFERROR(_xlfn.LET(
        _xlpm.rng,B41:N41,
        _xlpm.lastCol,MAX(IF(ISNUMBER(_xlpm.rng)*(_xlpm.rng&lt;&gt;0),COLUMN(_xlpm.rng),0)),
        _xlpm.secondLastCol,MAX(IF((ISNUMBER(_xlpm.rng)*(_xlpm.rng&lt;&gt;0)*(COLUMN(_xlpm.rng)&lt;_xlpm.lastCol)),COLUMN(_xlpm.rng),0)),
        _xlpm.lastVal,INDEX(B41:N41,1,_xlpm.lastCol-1),
        _xlpm.secondLastVal,INDEX(B41:N41,1,_xlpm.secondLastCol-1),
        IF(OR(_xlpm.secondLastCol=0,_xlpm.lastCol=0),"-",(_xlpm.lastVal-_xlpm.secondLastVal)/ABS(_xlpm.secondLastVal))
    ),"-")</f>
        <v>-</v>
      </c>
      <c r="P41" s="40">
        <f t="shared" ref="P41:P43" si="6">SUM(B41:N41)</f>
        <v>0</v>
      </c>
      <c r="Q41" s="52"/>
      <c r="R41" s="52"/>
      <c r="S41" s="52"/>
      <c r="T41" s="52"/>
      <c r="U41" s="52"/>
    </row>
    <row r="42" spans="1:16" x14ac:dyDescent="0.25">
      <c r="A42" s="39" t="s">
        <v>20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50" t="str">
        <f t="array" ref="O42">IFERROR(_xlfn.LET(
        _xlpm.rng,B42:N42,
        _xlpm.lastCol,MAX(IF(ISNUMBER(_xlpm.rng)*(_xlpm.rng&lt;&gt;0),COLUMN(_xlpm.rng),0)),
        _xlpm.secondLastCol,MAX(IF((ISNUMBER(_xlpm.rng)*(_xlpm.rng&lt;&gt;0)*(COLUMN(_xlpm.rng)&lt;_xlpm.lastCol)),COLUMN(_xlpm.rng),0)),
        _xlpm.lastVal,INDEX(B42:N42,1,_xlpm.lastCol-1),
        _xlpm.secondLastVal,INDEX(B42:N42,1,_xlpm.secondLastCol-1),
        IF(OR(_xlpm.secondLastCol=0,_xlpm.lastCol=0),"-",(_xlpm.lastVal-_xlpm.secondLastVal)/ABS(_xlpm.secondLastVal))
    ),"-")</f>
        <v>-</v>
      </c>
      <c r="P42" s="40">
        <f t="shared" si="6"/>
        <v>0</v>
      </c>
    </row>
    <row r="43" spans="1:16" x14ac:dyDescent="0.25">
      <c r="A43" s="39" t="s">
        <v>21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50" t="str">
        <f t="array" ref="O43">IFERROR(_xlfn.LET(
        _xlpm.rng,B43:N43,
        _xlpm.lastCol,MAX(IF(ISNUMBER(_xlpm.rng)*(_xlpm.rng&lt;&gt;0),COLUMN(_xlpm.rng),0)),
        _xlpm.secondLastCol,MAX(IF((ISNUMBER(_xlpm.rng)*(_xlpm.rng&lt;&gt;0)*(COLUMN(_xlpm.rng)&lt;_xlpm.lastCol)),COLUMN(_xlpm.rng),0)),
        _xlpm.lastVal,INDEX(B43:N43,1,_xlpm.lastCol-1),
        _xlpm.secondLastVal,INDEX(B43:N43,1,_xlpm.secondLastCol-1),
        IF(OR(_xlpm.secondLastCol=0,_xlpm.lastCol=0),"-",(_xlpm.lastVal-_xlpm.secondLastVal)/ABS(_xlpm.secondLastVal))
    ),"-")</f>
        <v>-</v>
      </c>
      <c r="P43" s="40">
        <f t="shared" si="6"/>
        <v>0</v>
      </c>
    </row>
    <row r="44" ht="15.75" customHeight="1" spans="1:16" x14ac:dyDescent="0.25">
      <c r="A44" s="34" t="s">
        <v>44</v>
      </c>
      <c r="B44" s="35" t="s">
        <v>68</v>
      </c>
      <c r="C44" s="35" t="s">
        <v>69</v>
      </c>
      <c r="D44" s="35" t="s">
        <v>70</v>
      </c>
      <c r="E44" s="35" t="s">
        <v>71</v>
      </c>
      <c r="F44" s="36" t="s">
        <v>72</v>
      </c>
      <c r="G44" s="35" t="s">
        <v>73</v>
      </c>
      <c r="H44" s="35" t="s">
        <v>74</v>
      </c>
      <c r="I44" s="35" t="s">
        <v>75</v>
      </c>
      <c r="J44" s="36" t="s">
        <v>76</v>
      </c>
      <c r="K44" s="36" t="s">
        <v>77</v>
      </c>
      <c r="L44" s="36" t="s">
        <v>78</v>
      </c>
      <c r="M44" s="36" t="s">
        <v>79</v>
      </c>
      <c r="N44" s="36" t="s">
        <v>80</v>
      </c>
      <c r="O44" s="37" t="s">
        <v>41</v>
      </c>
      <c r="P44" s="38" t="s">
        <v>42</v>
      </c>
    </row>
    <row r="45" spans="1:16" x14ac:dyDescent="0.25">
      <c r="A45" s="39" t="s">
        <v>19</v>
      </c>
      <c r="B45" s="40">
        <f>SUMIF(Taival_WL!$A:$A,"&lt;="&amp;B44,Taival_WL!$H:$H)-SUMIF(Taival_WL!$A:$A,"&lt;="&amp;N27,Taival_WL!$H:$H)</f>
        <v>0</v>
      </c>
      <c r="C45" s="40">
        <f>SUMIFS(Taival_WL!$H:$H,Taival_WL!$A:$A,"&gt;"&amp;B44,Taival_WL!$A:$A,"&lt;="&amp;C44)</f>
        <v>0</v>
      </c>
      <c r="D45" s="40">
        <f>SUMIFS(Taival_WL!$H:$H,Taival_WL!$A:$A,"&gt;"&amp;C44,Taival_WL!$A:$A,"&lt;="&amp;D44)</f>
        <v>0</v>
      </c>
      <c r="E45" s="40">
        <f>SUMIFS(Taival_WL!$H:$H,Taival_WL!$A:$A,"&gt;"&amp;D44,Taival_WL!$A:$A,"&lt;="&amp;E44)</f>
        <v>0</v>
      </c>
      <c r="F45" s="41">
        <f>SUMIFS(Taival_WL!$H:$H,Taival_WL!$A:$A,"&gt;"&amp;E44,Taival_WL!$A:$A,"&lt;="&amp;F44)</f>
        <v>0</v>
      </c>
      <c r="G45" s="40">
        <f>SUMIFS(Taival_WL!$H:$H,Taival_WL!$A:$A,"&gt;"&amp;F44,Taival_WL!$A:$A,"&lt;="&amp;G44)</f>
        <v>0</v>
      </c>
      <c r="H45" s="40">
        <f>SUMIFS(Taival_WL!$H:$H,Taival_WL!$A:$A,"&gt;"&amp;G44,Taival_WL!$A:$A,"&lt;="&amp;H44)</f>
        <v>0</v>
      </c>
      <c r="I45" s="40">
        <f>SUMIFS(Taival_WL!$H:$H,Taival_WL!$A:$A,"&gt;"&amp;H44,Taival_WL!$A:$A,"&lt;="&amp;I44)</f>
        <v>0</v>
      </c>
      <c r="J45" s="41">
        <f>SUMIFS(Taival_WL!$H:$H,Taival_WL!$A:$A,"&gt;"&amp;I44,Taival_WL!$A:$A,"&lt;="&amp;J44)</f>
        <v>0</v>
      </c>
      <c r="K45" s="40">
        <f>SUMIFS(Taival_WL!$H:$H,Taival_WL!$A:$A,"&gt;"&amp;J44,Taival_WL!$A:$A,"&lt;="&amp;K44)</f>
        <v>0</v>
      </c>
      <c r="L45" s="40">
        <f>SUMIFS(Taival_WL!$H:$H,Taival_WL!$A:$A,"&gt;"&amp;K44,Taival_WL!$A:$A,"&lt;="&amp;L44)</f>
        <v>0</v>
      </c>
      <c r="M45" s="40">
        <f>SUMIFS(Taival_WL!$H:$H,Taival_WL!$A:$A,"&gt;"&amp;L44,Taival_WL!$A:$A,"&lt;="&amp;M44)</f>
        <v>0</v>
      </c>
      <c r="N45" s="40">
        <f>SUMIFS(Taival_WL!$H:$H,Taival_WL!$A:$A,"&gt;"&amp;M44,Taival_WL!$A:$A,"&lt;="&amp;N44)</f>
        <v>0</v>
      </c>
      <c r="O45" s="50" t="str">
        <f t="array" ref="O45">IFERROR(_xlfn.LET(
        _xlpm.rng,B45:N45,
        _xlpm.lastCol,MAX(IF(ISNUMBER(_xlpm.rng)*(_xlpm.rng&lt;&gt;0),COLUMN(_xlpm.rng),0)),
        _xlpm.secondLastCol,MAX(IF((ISNUMBER(_xlpm.rng)*(_xlpm.rng&lt;&gt;0)*(COLUMN(_xlpm.rng)&lt;_xlpm.lastCol)),COLUMN(_xlpm.rng),0)),
        _xlpm.lastVal,INDEX(B45:N45,1,_xlpm.lastCol-1),
        _xlpm.secondLastVal,INDEX(B45:N45,1,_xlpm.secondLastCol-1),
        IF(OR(_xlpm.secondLastCol=0,_xlpm.lastCol=0),"-",(_xlpm.lastVal-_xlpm.secondLastVal)/ABS(_xlpm.secondLastVal))
    ),"-")</f>
        <v>-</v>
      </c>
      <c r="P45" s="40">
        <f t="shared" ref="P45:P47" si="7">SUM(B45:N45)</f>
        <v>0</v>
      </c>
    </row>
    <row r="46" spans="1:16" x14ac:dyDescent="0.25">
      <c r="A46" s="39" t="s">
        <v>20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50" t="str">
        <f t="array" ref="O46">IFERROR(_xlfn.LET(
        _xlpm.rng,B46:N46,
        _xlpm.lastCol,MAX(IF(ISNUMBER(_xlpm.rng)*(_xlpm.rng&lt;&gt;0),COLUMN(_xlpm.rng),0)),
        _xlpm.secondLastCol,MAX(IF((ISNUMBER(_xlpm.rng)*(_xlpm.rng&lt;&gt;0)*(COLUMN(_xlpm.rng)&lt;_xlpm.lastCol)),COLUMN(_xlpm.rng),0)),
        _xlpm.lastVal,INDEX(B46:N46,1,_xlpm.lastCol-1),
        _xlpm.secondLastVal,INDEX(B46:N46,1,_xlpm.secondLastCol-1),
        IF(OR(_xlpm.secondLastCol=0,_xlpm.lastCol=0),"-",(_xlpm.lastVal-_xlpm.secondLastVal)/ABS(_xlpm.secondLastVal))
    ),"-")</f>
        <v>-</v>
      </c>
      <c r="P46" s="40">
        <f t="shared" si="7"/>
        <v>0</v>
      </c>
    </row>
    <row r="47" spans="1:16" x14ac:dyDescent="0.25">
      <c r="A47" s="39" t="s">
        <v>21</v>
      </c>
      <c r="B47" s="40">
        <v>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50" t="str">
        <f t="array" ref="O47">IFERROR(_xlfn.LET(
        _xlpm.rng,B47:N47,
        _xlpm.lastCol,MAX(IF(ISNUMBER(_xlpm.rng)*(_xlpm.rng&lt;&gt;0),COLUMN(_xlpm.rng),0)),
        _xlpm.secondLastCol,MAX(IF((ISNUMBER(_xlpm.rng)*(_xlpm.rng&lt;&gt;0)*(COLUMN(_xlpm.rng)&lt;_xlpm.lastCol)),COLUMN(_xlpm.rng),0)),
        _xlpm.lastVal,INDEX(B47:N47,1,_xlpm.lastCol-1),
        _xlpm.secondLastVal,INDEX(B47:N47,1,_xlpm.secondLastCol-1),
        IF(OR(_xlpm.secondLastCol=0,_xlpm.lastCol=0),"-",(_xlpm.lastVal-_xlpm.secondLastVal)/ABS(_xlpm.secondLastVal))
    ),"-")</f>
        <v>-</v>
      </c>
      <c r="P47" s="40">
        <f t="shared" si="7"/>
        <v>0</v>
      </c>
    </row>
    <row r="48" ht="15.75" customHeight="1" spans="1:16" x14ac:dyDescent="0.25">
      <c r="A48" s="34" t="s">
        <v>17</v>
      </c>
      <c r="B48" s="35" t="s">
        <v>68</v>
      </c>
      <c r="C48" s="35" t="s">
        <v>69</v>
      </c>
      <c r="D48" s="35" t="s">
        <v>70</v>
      </c>
      <c r="E48" s="35" t="s">
        <v>71</v>
      </c>
      <c r="F48" s="36" t="s">
        <v>72</v>
      </c>
      <c r="G48" s="35" t="s">
        <v>73</v>
      </c>
      <c r="H48" s="35" t="s">
        <v>74</v>
      </c>
      <c r="I48" s="35" t="s">
        <v>75</v>
      </c>
      <c r="J48" s="36" t="s">
        <v>76</v>
      </c>
      <c r="K48" s="36" t="s">
        <v>77</v>
      </c>
      <c r="L48" s="36" t="s">
        <v>78</v>
      </c>
      <c r="M48" s="36" t="s">
        <v>79</v>
      </c>
      <c r="N48" s="36" t="s">
        <v>80</v>
      </c>
      <c r="O48" s="37" t="s">
        <v>41</v>
      </c>
      <c r="P48" s="38" t="s">
        <v>42</v>
      </c>
    </row>
    <row r="49" spans="1:16" x14ac:dyDescent="0.25">
      <c r="A49" s="39" t="s">
        <v>19</v>
      </c>
      <c r="B49" s="40">
        <f>SUMIF(Taival_WL!$A:$A,"&lt;="&amp;B48,Taival_WL!$H:$H)-SUMIF(Taival_WL!$A:$A,"&lt;="&amp;N31,Taival_WL!$H:$H)</f>
        <v>0</v>
      </c>
      <c r="C49" s="40">
        <f>SUMIFS(Taival_WL!$H:$H,Taival_WL!$A:$A,"&gt;"&amp;B48,Taival_WL!$A:$A,"&lt;="&amp;C48)</f>
        <v>0</v>
      </c>
      <c r="D49" s="40">
        <f>SUMIFS(Taival_WL!$H:$H,Taival_WL!$A:$A,"&gt;"&amp;C48,Taival_WL!$A:$A,"&lt;="&amp;D48)</f>
        <v>0</v>
      </c>
      <c r="E49" s="40">
        <f>SUMIFS(Taival_WL!$H:$H,Taival_WL!$A:$A,"&gt;"&amp;D48,Taival_WL!$A:$A,"&lt;="&amp;E48)</f>
        <v>0</v>
      </c>
      <c r="F49" s="41">
        <f>SUMIFS(Taival_WL!$H:$H,Taival_WL!$A:$A,"&gt;"&amp;E48,Taival_WL!$A:$A,"&lt;="&amp;F48)</f>
        <v>0</v>
      </c>
      <c r="G49" s="40">
        <f>SUMIFS(Taival_WL!$H:$H,Taival_WL!$A:$A,"&gt;"&amp;F48,Taival_WL!$A:$A,"&lt;="&amp;G48)</f>
        <v>0</v>
      </c>
      <c r="H49" s="40">
        <f>SUMIFS(Taival_WL!$H:$H,Taival_WL!$A:$A,"&gt;"&amp;G48,Taival_WL!$A:$A,"&lt;="&amp;H48)</f>
        <v>0</v>
      </c>
      <c r="I49" s="40">
        <f>SUMIFS(Taival_WL!$H:$H,Taival_WL!$A:$A,"&gt;"&amp;H48,Taival_WL!$A:$A,"&lt;="&amp;I48)</f>
        <v>0</v>
      </c>
      <c r="J49" s="41">
        <f>SUMIFS(Taival_WL!$H:$H,Taival_WL!$A:$A,"&gt;"&amp;I48,Taival_WL!$A:$A,"&lt;="&amp;J48)</f>
        <v>0</v>
      </c>
      <c r="K49" s="40">
        <f>SUMIFS(Taival_WL!$H:$H,Taival_WL!$A:$A,"&gt;"&amp;J48,Taival_WL!$A:$A,"&lt;="&amp;K48)</f>
        <v>0</v>
      </c>
      <c r="L49" s="40">
        <f>SUMIFS(Taival_WL!$H:$H,Taival_WL!$A:$A,"&gt;"&amp;K48,Taival_WL!$A:$A,"&lt;="&amp;L48)</f>
        <v>0</v>
      </c>
      <c r="M49" s="40">
        <f>SUMIFS(Taival_WL!$H:$H,Taival_WL!$A:$A,"&gt;"&amp;L48,Taival_WL!$A:$A,"&lt;="&amp;M48)</f>
        <v>0</v>
      </c>
      <c r="N49" s="40">
        <f>SUMIFS(Taival_WL!$H:$H,Taival_WL!$A:$A,"&gt;"&amp;M48,Taival_WL!$A:$A,"&lt;="&amp;N48)</f>
        <v>0</v>
      </c>
      <c r="O49" s="50" t="str">
        <f t="array" ref="O49">IFERROR(_xlfn.LET(
        _xlpm.rng,B49:N49,
        _xlpm.lastCol,MAX(IF(ISNUMBER(_xlpm.rng)*(_xlpm.rng&lt;&gt;0),COLUMN(_xlpm.rng),0)),
        _xlpm.secondLastCol,MAX(IF((ISNUMBER(_xlpm.rng)*(_xlpm.rng&lt;&gt;0)*(COLUMN(_xlpm.rng)&lt;_xlpm.lastCol)),COLUMN(_xlpm.rng),0)),
        _xlpm.lastVal,INDEX(B49:N49,1,_xlpm.lastCol-1),
        _xlpm.secondLastVal,INDEX(B49:N49,1,_xlpm.secondLastCol-1),
        IF(OR(_xlpm.secondLastCol=0,_xlpm.lastCol=0),"-",(_xlpm.lastVal-_xlpm.secondLastVal)/ABS(_xlpm.secondLastVal))
    ),"-")</f>
        <v>-</v>
      </c>
      <c r="P49" s="40">
        <f t="shared" ref="P49:P51" si="8">SUM(B49:N49)</f>
        <v>0</v>
      </c>
    </row>
    <row r="50" spans="1:16" x14ac:dyDescent="0.25">
      <c r="A50" s="39" t="s">
        <v>20</v>
      </c>
      <c r="B50" s="40">
        <v>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50" t="str">
        <f t="array" ref="O50">IFERROR(_xlfn.LET(
        _xlpm.rng,B50:N50,
        _xlpm.lastCol,MAX(IF(ISNUMBER(_xlpm.rng)*(_xlpm.rng&lt;&gt;0),COLUMN(_xlpm.rng),0)),
        _xlpm.secondLastCol,MAX(IF((ISNUMBER(_xlpm.rng)*(_xlpm.rng&lt;&gt;0)*(COLUMN(_xlpm.rng)&lt;_xlpm.lastCol)),COLUMN(_xlpm.rng),0)),
        _xlpm.lastVal,INDEX(B50:N50,1,_xlpm.lastCol-1),
        _xlpm.secondLastVal,INDEX(B50:N50,1,_xlpm.secondLastCol-1),
        IF(OR(_xlpm.secondLastCol=0,_xlpm.lastCol=0),"-",(_xlpm.lastVal-_xlpm.secondLastVal)/ABS(_xlpm.secondLastVal))
    ),"-")</f>
        <v>-</v>
      </c>
      <c r="P50" s="40">
        <f t="shared" si="8"/>
        <v>0</v>
      </c>
    </row>
    <row r="51" ht="15.75" customHeight="1" spans="1:16" x14ac:dyDescent="0.25">
      <c r="A51" s="39" t="s">
        <v>21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50" t="str">
        <f t="array" ref="O51">IFERROR(_xlfn.LET(
        _xlpm.rng,B51:N51,
        _xlpm.lastCol,MAX(IF(ISNUMBER(_xlpm.rng)*(_xlpm.rng&lt;&gt;0),COLUMN(_xlpm.rng),0)),
        _xlpm.secondLastCol,MAX(IF((ISNUMBER(_xlpm.rng)*(_xlpm.rng&lt;&gt;0)*(COLUMN(_xlpm.rng)&lt;_xlpm.lastCol)),COLUMN(_xlpm.rng),0)),
        _xlpm.lastVal,INDEX(B51:N51,1,_xlpm.lastCol-1),
        _xlpm.secondLastVal,INDEX(B51:N51,1,_xlpm.secondLastCol-1),
        IF(OR(_xlpm.secondLastCol=0,_xlpm.lastCol=0),"-",(_xlpm.lastVal-_xlpm.secondLastVal)/ABS(_xlpm.secondLastVal))
    ),"-")</f>
        <v>-</v>
      </c>
      <c r="P51" s="40">
        <f t="shared" si="8"/>
        <v>0</v>
      </c>
    </row>
    <row r="52" ht="16.5" customHeight="1" spans="1:16" x14ac:dyDescent="0.25">
      <c r="A52" s="32" t="s">
        <v>81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3" t="s">
        <v>27</v>
      </c>
    </row>
    <row r="53" ht="16.5" customHeight="1" spans="1:16" x14ac:dyDescent="0.25">
      <c r="A53" s="34" t="s">
        <v>14</v>
      </c>
      <c r="B53" s="35" t="s">
        <v>82</v>
      </c>
      <c r="C53" s="35" t="s">
        <v>83</v>
      </c>
      <c r="D53" s="35" t="s">
        <v>84</v>
      </c>
      <c r="E53" s="35" t="s">
        <v>85</v>
      </c>
      <c r="F53" s="36" t="s">
        <v>86</v>
      </c>
      <c r="G53" s="35" t="s">
        <v>87</v>
      </c>
      <c r="H53" s="35" t="s">
        <v>88</v>
      </c>
      <c r="I53" s="35" t="s">
        <v>89</v>
      </c>
      <c r="J53" s="36" t="s">
        <v>90</v>
      </c>
      <c r="K53" s="36" t="s">
        <v>91</v>
      </c>
      <c r="L53" s="36" t="s">
        <v>92</v>
      </c>
      <c r="M53" s="36" t="s">
        <v>93</v>
      </c>
      <c r="N53" s="36" t="s">
        <v>94</v>
      </c>
      <c r="O53" s="37" t="s">
        <v>41</v>
      </c>
      <c r="P53" s="38" t="s">
        <v>42</v>
      </c>
    </row>
    <row r="54" spans="1:16" x14ac:dyDescent="0.25">
      <c r="A54" s="39" t="s">
        <v>19</v>
      </c>
      <c r="B54" s="40">
        <f>SUMIF(Taival_WL!$A:$A,"&lt;="&amp;B53,Taival_WL!$H:$H)-SUMIF(Taival_WL!$A:$A,"&lt;="&amp;N36,Taival_WL!$H:$H)</f>
        <v>0</v>
      </c>
      <c r="C54" s="40">
        <f>SUMIFS(Taival_WL!$H:$H,Taival_WL!$A:$A,"&gt;"&amp;B53,Taival_WL!$A:$A,"&lt;="&amp;C53)</f>
        <v>0</v>
      </c>
      <c r="D54" s="40">
        <f>SUMIFS(Taival_WL!$H:$H,Taival_WL!$A:$A,"&gt;"&amp;C53,Taival_WL!$A:$A,"&lt;="&amp;D53)</f>
        <v>0</v>
      </c>
      <c r="E54" s="40">
        <f>SUMIFS(Taival_WL!$H:$H,Taival_WL!$A:$A,"&gt;"&amp;D53,Taival_WL!$A:$A,"&lt;="&amp;E53)</f>
        <v>0</v>
      </c>
      <c r="F54" s="41">
        <f>SUMIFS(Taival_WL!$H:$H,Taival_WL!$A:$A,"&gt;"&amp;E53,Taival_WL!$A:$A,"&lt;="&amp;F53)</f>
        <v>0</v>
      </c>
      <c r="G54" s="40">
        <f>SUMIFS(Taival_WL!$H:$H,Taival_WL!$A:$A,"&gt;"&amp;F53,Taival_WL!$A:$A,"&lt;="&amp;G53)</f>
        <v>0</v>
      </c>
      <c r="H54" s="40">
        <f>SUMIFS(Taival_WL!$H:$H,Taival_WL!$A:$A,"&gt;"&amp;G53,Taival_WL!$A:$A,"&lt;="&amp;H53)</f>
        <v>0</v>
      </c>
      <c r="I54" s="40">
        <f>SUMIFS(Taival_WL!$H:$H,Taival_WL!$A:$A,"&gt;"&amp;H53,Taival_WL!$A:$A,"&lt;="&amp;I53)</f>
        <v>0</v>
      </c>
      <c r="J54" s="41">
        <f>SUMIFS(Taival_WL!$H:$H,Taival_WL!$A:$A,"&gt;"&amp;I53,Taival_WL!$A:$A,"&lt;="&amp;J53)</f>
        <v>0</v>
      </c>
      <c r="K54" s="40">
        <f>SUMIFS(Taival_WL!$H:$H,Taival_WL!$A:$A,"&gt;"&amp;J53,Taival_WL!$A:$A,"&lt;="&amp;K53)</f>
        <v>0</v>
      </c>
      <c r="L54" s="40">
        <f>SUMIFS(Taival_WL!$H:$H,Taival_WL!$A:$A,"&gt;"&amp;K53,Taival_WL!$A:$A,"&lt;="&amp;L53)</f>
        <v>0</v>
      </c>
      <c r="M54" s="40">
        <f>SUMIFS(Taival_WL!$H:$H,Taival_WL!$A:$A,"&gt;"&amp;L53,Taival_WL!$A:$A,"&lt;="&amp;M53)</f>
        <v>0</v>
      </c>
      <c r="N54" s="40">
        <f>SUMIFS(Taival_WL!$H:$H,Taival_WL!$A:$A,"&gt;"&amp;M53,Taival_WL!$A:$A,"&lt;="&amp;N53)</f>
        <v>0</v>
      </c>
      <c r="O54" s="50" t="str">
        <f t="array" ref="O54">IFERROR(_xlfn.LET(
        _xlpm.rng,B54:N54,
        _xlpm.lastCol,MAX(IF(ISNUMBER(_xlpm.rng)*(_xlpm.rng&lt;&gt;0),COLUMN(_xlpm.rng),0)),
        _xlpm.secondLastCol,MAX(IF((ISNUMBER(_xlpm.rng)*(_xlpm.rng&lt;&gt;0)*(COLUMN(_xlpm.rng)&lt;_xlpm.lastCol)),COLUMN(_xlpm.rng),0)),
        _xlpm.lastVal,INDEX(B54:N54,1,_xlpm.lastCol-1),
        _xlpm.secondLastVal,INDEX(B54:N54,1,_xlpm.secondLastCol-1),
        IF(OR(_xlpm.secondLastCol=0,_xlpm.lastCol=0),"-",(_xlpm.lastVal-_xlpm.secondLastVal)/ABS(_xlpm.secondLastVal))
    ),"-")</f>
        <v>-</v>
      </c>
      <c r="P54" s="40">
        <f t="shared" ref="P54:P56" si="9">SUM(B54:N54)</f>
        <v>0</v>
      </c>
    </row>
    <row r="55" spans="1:16" x14ac:dyDescent="0.25">
      <c r="A55" s="39" t="s">
        <v>20</v>
      </c>
      <c r="B55" s="40">
        <v>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50" t="str">
        <f t="array" ref="O55">IFERROR(_xlfn.LET(
        _xlpm.rng,B55:N55,
        _xlpm.lastCol,MAX(IF(ISNUMBER(_xlpm.rng)*(_xlpm.rng&lt;&gt;0),COLUMN(_xlpm.rng),0)),
        _xlpm.secondLastCol,MAX(IF((ISNUMBER(_xlpm.rng)*(_xlpm.rng&lt;&gt;0)*(COLUMN(_xlpm.rng)&lt;_xlpm.lastCol)),COLUMN(_xlpm.rng),0)),
        _xlpm.lastVal,INDEX(B55:N55,1,_xlpm.lastCol-1),
        _xlpm.secondLastVal,INDEX(B55:N55,1,_xlpm.secondLastCol-1),
        IF(OR(_xlpm.secondLastCol=0,_xlpm.lastCol=0),"-",(_xlpm.lastVal-_xlpm.secondLastVal)/ABS(_xlpm.secondLastVal))
    ),"-")</f>
        <v>-</v>
      </c>
      <c r="P55" s="40">
        <f t="shared" si="9"/>
        <v>0</v>
      </c>
    </row>
    <row r="56" spans="1:16" x14ac:dyDescent="0.25">
      <c r="A56" s="39" t="s">
        <v>21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50" t="str">
        <f t="array" ref="O56">IFERROR(_xlfn.LET(
        _xlpm.rng,B56:N56,
        _xlpm.lastCol,MAX(IF(ISNUMBER(_xlpm.rng)*(_xlpm.rng&lt;&gt;0),COLUMN(_xlpm.rng),0)),
        _xlpm.secondLastCol,MAX(IF((ISNUMBER(_xlpm.rng)*(_xlpm.rng&lt;&gt;0)*(COLUMN(_xlpm.rng)&lt;_xlpm.lastCol)),COLUMN(_xlpm.rng),0)),
        _xlpm.lastVal,INDEX(B56:N56,1,_xlpm.lastCol-1),
        _xlpm.secondLastVal,INDEX(B56:N56,1,_xlpm.secondLastCol-1),
        IF(OR(_xlpm.secondLastCol=0,_xlpm.lastCol=0),"-",(_xlpm.lastVal-_xlpm.secondLastVal)/ABS(_xlpm.secondLastVal))
    ),"-")</f>
        <v>-</v>
      </c>
      <c r="P56" s="40">
        <f t="shared" si="9"/>
        <v>0</v>
      </c>
    </row>
    <row r="57" ht="15.75" customHeight="1" spans="1:16" x14ac:dyDescent="0.25">
      <c r="A57" s="34" t="s">
        <v>43</v>
      </c>
      <c r="B57" s="35" t="s">
        <v>82</v>
      </c>
      <c r="C57" s="35" t="s">
        <v>83</v>
      </c>
      <c r="D57" s="35" t="s">
        <v>84</v>
      </c>
      <c r="E57" s="35" t="s">
        <v>85</v>
      </c>
      <c r="F57" s="36" t="s">
        <v>86</v>
      </c>
      <c r="G57" s="35" t="s">
        <v>87</v>
      </c>
      <c r="H57" s="35" t="s">
        <v>88</v>
      </c>
      <c r="I57" s="35" t="s">
        <v>89</v>
      </c>
      <c r="J57" s="36" t="s">
        <v>90</v>
      </c>
      <c r="K57" s="36" t="s">
        <v>91</v>
      </c>
      <c r="L57" s="36" t="s">
        <v>92</v>
      </c>
      <c r="M57" s="36" t="s">
        <v>93</v>
      </c>
      <c r="N57" s="36" t="s">
        <v>94</v>
      </c>
      <c r="O57" s="37" t="s">
        <v>41</v>
      </c>
      <c r="P57" s="38" t="s">
        <v>42</v>
      </c>
    </row>
    <row r="58" spans="1:16" x14ac:dyDescent="0.25">
      <c r="A58" s="39" t="s">
        <v>19</v>
      </c>
      <c r="B58" s="40">
        <f>SUMIF(Taival_WL!$A:$A,"&lt;="&amp;B57,Taival_WL!$H:$H)-SUMIF(Taival_WL!$A:$A,"&lt;="&amp;N40,Taival_WL!$H:$H)</f>
        <v>0</v>
      </c>
      <c r="C58" s="40">
        <f>SUMIFS(Taival_WL!$H:$H,Taival_WL!$A:$A,"&gt;"&amp;B57,Taival_WL!$A:$A,"&lt;="&amp;C57)</f>
        <v>0</v>
      </c>
      <c r="D58" s="40">
        <f>SUMIFS(Taival_WL!$H:$H,Taival_WL!$A:$A,"&gt;"&amp;C57,Taival_WL!$A:$A,"&lt;="&amp;D57)</f>
        <v>0</v>
      </c>
      <c r="E58" s="40">
        <f>SUMIFS(Taival_WL!$H:$H,Taival_WL!$A:$A,"&gt;"&amp;D57,Taival_WL!$A:$A,"&lt;="&amp;E57)</f>
        <v>0</v>
      </c>
      <c r="F58" s="41">
        <f>SUMIFS(Taival_WL!$H:$H,Taival_WL!$A:$A,"&gt;"&amp;E57,Taival_WL!$A:$A,"&lt;="&amp;F57)</f>
        <v>0</v>
      </c>
      <c r="G58" s="40">
        <f>SUMIFS(Taival_WL!$H:$H,Taival_WL!$A:$A,"&gt;"&amp;F57,Taival_WL!$A:$A,"&lt;="&amp;G57)</f>
        <v>0</v>
      </c>
      <c r="H58" s="40">
        <f>SUMIFS(Taival_WL!$H:$H,Taival_WL!$A:$A,"&gt;"&amp;G57,Taival_WL!$A:$A,"&lt;="&amp;H57)</f>
        <v>0</v>
      </c>
      <c r="I58" s="40">
        <f>SUMIFS(Taival_WL!$H:$H,Taival_WL!$A:$A,"&gt;"&amp;H57,Taival_WL!$A:$A,"&lt;="&amp;I57)</f>
        <v>0</v>
      </c>
      <c r="J58" s="41">
        <f>SUMIFS(Taival_WL!$H:$H,Taival_WL!$A:$A,"&gt;"&amp;I57,Taival_WL!$A:$A,"&lt;="&amp;J57)</f>
        <v>0</v>
      </c>
      <c r="K58" s="40">
        <f>SUMIFS(Taival_WL!$H:$H,Taival_WL!$A:$A,"&gt;"&amp;J57,Taival_WL!$A:$A,"&lt;="&amp;K57)</f>
        <v>0</v>
      </c>
      <c r="L58" s="40">
        <f>SUMIFS(Taival_WL!$H:$H,Taival_WL!$A:$A,"&gt;"&amp;K57,Taival_WL!$A:$A,"&lt;="&amp;L57)</f>
        <v>0</v>
      </c>
      <c r="M58" s="40">
        <f>SUMIFS(Taival_WL!$H:$H,Taival_WL!$A:$A,"&gt;"&amp;L57,Taival_WL!$A:$A,"&lt;="&amp;M57)</f>
        <v>0</v>
      </c>
      <c r="N58" s="40">
        <f>SUMIFS(Taival_WL!$H:$H,Taival_WL!$A:$A,"&gt;"&amp;M57,Taival_WL!$A:$A,"&lt;="&amp;N57)</f>
        <v>0</v>
      </c>
      <c r="O58" s="50" t="str">
        <f t="array" ref="O58">IFERROR(_xlfn.LET(
        _xlpm.rng,B58:N58,
        _xlpm.lastCol,MAX(IF(ISNUMBER(_xlpm.rng)*(_xlpm.rng&lt;&gt;0),COLUMN(_xlpm.rng),0)),
        _xlpm.secondLastCol,MAX(IF((ISNUMBER(_xlpm.rng)*(_xlpm.rng&lt;&gt;0)*(COLUMN(_xlpm.rng)&lt;_xlpm.lastCol)),COLUMN(_xlpm.rng),0)),
        _xlpm.lastVal,INDEX(B58:N58,1,_xlpm.lastCol-1),
        _xlpm.secondLastVal,INDEX(B58:N58,1,_xlpm.secondLastCol-1),
        IF(OR(_xlpm.secondLastCol=0,_xlpm.lastCol=0),"-",(_xlpm.lastVal-_xlpm.secondLastVal)/ABS(_xlpm.secondLastVal))
    ),"-")</f>
        <v>-</v>
      </c>
      <c r="P58" s="40">
        <f t="shared" ref="P58:P60" si="10">SUM(B58:N58)</f>
        <v>0</v>
      </c>
    </row>
    <row r="59" spans="1:16" x14ac:dyDescent="0.25">
      <c r="A59" s="39" t="s">
        <v>20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50" t="str">
        <f t="array" ref="O59">IFERROR(_xlfn.LET(
        _xlpm.rng,B59:N59,
        _xlpm.lastCol,MAX(IF(ISNUMBER(_xlpm.rng)*(_xlpm.rng&lt;&gt;0),COLUMN(_xlpm.rng),0)),
        _xlpm.secondLastCol,MAX(IF((ISNUMBER(_xlpm.rng)*(_xlpm.rng&lt;&gt;0)*(COLUMN(_xlpm.rng)&lt;_xlpm.lastCol)),COLUMN(_xlpm.rng),0)),
        _xlpm.lastVal,INDEX(B59:N59,1,_xlpm.lastCol-1),
        _xlpm.secondLastVal,INDEX(B59:N59,1,_xlpm.secondLastCol-1),
        IF(OR(_xlpm.secondLastCol=0,_xlpm.lastCol=0),"-",(_xlpm.lastVal-_xlpm.secondLastVal)/ABS(_xlpm.secondLastVal))
    ),"-")</f>
        <v>-</v>
      </c>
      <c r="P59" s="40">
        <f t="shared" si="10"/>
        <v>0</v>
      </c>
    </row>
    <row r="60" spans="1:16" x14ac:dyDescent="0.25">
      <c r="A60" s="39" t="s">
        <v>21</v>
      </c>
      <c r="B60" s="40">
        <v>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50" t="str">
        <f t="array" ref="O60">IFERROR(_xlfn.LET(
        _xlpm.rng,B60:N60,
        _xlpm.lastCol,MAX(IF(ISNUMBER(_xlpm.rng)*(_xlpm.rng&lt;&gt;0),COLUMN(_xlpm.rng),0)),
        _xlpm.secondLastCol,MAX(IF((ISNUMBER(_xlpm.rng)*(_xlpm.rng&lt;&gt;0)*(COLUMN(_xlpm.rng)&lt;_xlpm.lastCol)),COLUMN(_xlpm.rng),0)),
        _xlpm.lastVal,INDEX(B60:N60,1,_xlpm.lastCol-1),
        _xlpm.secondLastVal,INDEX(B60:N60,1,_xlpm.secondLastCol-1),
        IF(OR(_xlpm.secondLastCol=0,_xlpm.lastCol=0),"-",(_xlpm.lastVal-_xlpm.secondLastVal)/ABS(_xlpm.secondLastVal))
    ),"-")</f>
        <v>-</v>
      </c>
      <c r="P60" s="40">
        <f t="shared" si="10"/>
        <v>0</v>
      </c>
    </row>
    <row r="61" ht="15.75" customHeight="1" spans="1:16" x14ac:dyDescent="0.25">
      <c r="A61" s="34" t="s">
        <v>44</v>
      </c>
      <c r="B61" s="35" t="s">
        <v>82</v>
      </c>
      <c r="C61" s="35" t="s">
        <v>83</v>
      </c>
      <c r="D61" s="35" t="s">
        <v>84</v>
      </c>
      <c r="E61" s="35" t="s">
        <v>85</v>
      </c>
      <c r="F61" s="36" t="s">
        <v>86</v>
      </c>
      <c r="G61" s="35" t="s">
        <v>87</v>
      </c>
      <c r="H61" s="35" t="s">
        <v>88</v>
      </c>
      <c r="I61" s="35" t="s">
        <v>89</v>
      </c>
      <c r="J61" s="36" t="s">
        <v>90</v>
      </c>
      <c r="K61" s="36" t="s">
        <v>91</v>
      </c>
      <c r="L61" s="36" t="s">
        <v>92</v>
      </c>
      <c r="M61" s="36" t="s">
        <v>93</v>
      </c>
      <c r="N61" s="36" t="s">
        <v>94</v>
      </c>
      <c r="O61" s="37" t="s">
        <v>41</v>
      </c>
      <c r="P61" s="38" t="s">
        <v>42</v>
      </c>
    </row>
    <row r="62" spans="1:16" x14ac:dyDescent="0.25">
      <c r="A62" s="39" t="s">
        <v>19</v>
      </c>
      <c r="B62" s="40">
        <f>SUMIF(Taival_WL!$A:$A,"&lt;="&amp;B61,Taival_WL!$H:$H)-SUMIF(Taival_WL!$A:$A,"&lt;="&amp;N44,Taival_WL!$H:$H)</f>
        <v>0</v>
      </c>
      <c r="C62" s="40">
        <f>SUMIFS(Taival_WL!$H:$H,Taival_WL!$A:$A,"&gt;"&amp;B61,Taival_WL!$A:$A,"&lt;="&amp;C61)</f>
        <v>0</v>
      </c>
      <c r="D62" s="40">
        <f>SUMIFS(Taival_WL!$H:$H,Taival_WL!$A:$A,"&gt;"&amp;C61,Taival_WL!$A:$A,"&lt;="&amp;D61)</f>
        <v>0</v>
      </c>
      <c r="E62" s="40">
        <f>SUMIFS(Taival_WL!$H:$H,Taival_WL!$A:$A,"&gt;"&amp;D61,Taival_WL!$A:$A,"&lt;="&amp;E61)</f>
        <v>0</v>
      </c>
      <c r="F62" s="41">
        <f>SUMIFS(Taival_WL!$H:$H,Taival_WL!$A:$A,"&gt;"&amp;E61,Taival_WL!$A:$A,"&lt;="&amp;F61)</f>
        <v>0</v>
      </c>
      <c r="G62" s="40">
        <f>SUMIFS(Taival_WL!$H:$H,Taival_WL!$A:$A,"&gt;"&amp;F61,Taival_WL!$A:$A,"&lt;="&amp;G61)</f>
        <v>0</v>
      </c>
      <c r="H62" s="40">
        <f>SUMIFS(Taival_WL!$H:$H,Taival_WL!$A:$A,"&gt;"&amp;G61,Taival_WL!$A:$A,"&lt;="&amp;H61)</f>
        <v>0</v>
      </c>
      <c r="I62" s="40">
        <f>SUMIFS(Taival_WL!$H:$H,Taival_WL!$A:$A,"&gt;"&amp;H61,Taival_WL!$A:$A,"&lt;="&amp;I61)</f>
        <v>0</v>
      </c>
      <c r="J62" s="41">
        <f>SUMIFS(Taival_WL!$H:$H,Taival_WL!$A:$A,"&gt;"&amp;I61,Taival_WL!$A:$A,"&lt;="&amp;J61)</f>
        <v>0</v>
      </c>
      <c r="K62" s="40">
        <f>SUMIFS(Taival_WL!$H:$H,Taival_WL!$A:$A,"&gt;"&amp;J61,Taival_WL!$A:$A,"&lt;="&amp;K61)</f>
        <v>0</v>
      </c>
      <c r="L62" s="40">
        <f>SUMIFS(Taival_WL!$H:$H,Taival_WL!$A:$A,"&gt;"&amp;K61,Taival_WL!$A:$A,"&lt;="&amp;L61)</f>
        <v>0</v>
      </c>
      <c r="M62" s="40">
        <f>SUMIFS(Taival_WL!$H:$H,Taival_WL!$A:$A,"&gt;"&amp;L61,Taival_WL!$A:$A,"&lt;="&amp;M61)</f>
        <v>0</v>
      </c>
      <c r="N62" s="40">
        <f>SUMIFS(Taival_WL!$H:$H,Taival_WL!$A:$A,"&gt;"&amp;M61,Taival_WL!$A:$A,"&lt;="&amp;N61)</f>
        <v>0</v>
      </c>
      <c r="O62" s="50" t="str">
        <f t="array" ref="O62">IFERROR(_xlfn.LET(
        _xlpm.rng,B62:N62,
        _xlpm.lastCol,MAX(IF(ISNUMBER(_xlpm.rng)*(_xlpm.rng&lt;&gt;0),COLUMN(_xlpm.rng),0)),
        _xlpm.secondLastCol,MAX(IF((ISNUMBER(_xlpm.rng)*(_xlpm.rng&lt;&gt;0)*(COLUMN(_xlpm.rng)&lt;_xlpm.lastCol)),COLUMN(_xlpm.rng),0)),
        _xlpm.lastVal,INDEX(B62:N62,1,_xlpm.lastCol-1),
        _xlpm.secondLastVal,INDEX(B62:N62,1,_xlpm.secondLastCol-1),
        IF(OR(_xlpm.secondLastCol=0,_xlpm.lastCol=0),"-",(_xlpm.lastVal-_xlpm.secondLastVal)/ABS(_xlpm.secondLastVal))
    ),"-")</f>
        <v>-</v>
      </c>
      <c r="P62" s="40">
        <f t="shared" ref="P62:P64" si="11">SUM(B62:N62)</f>
        <v>0</v>
      </c>
    </row>
    <row r="63" spans="1:16" x14ac:dyDescent="0.25">
      <c r="A63" s="39" t="s">
        <v>20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50" t="str">
        <f t="array" ref="O63">IFERROR(_xlfn.LET(
        _xlpm.rng,B63:N63,
        _xlpm.lastCol,MAX(IF(ISNUMBER(_xlpm.rng)*(_xlpm.rng&lt;&gt;0),COLUMN(_xlpm.rng),0)),
        _xlpm.secondLastCol,MAX(IF((ISNUMBER(_xlpm.rng)*(_xlpm.rng&lt;&gt;0)*(COLUMN(_xlpm.rng)&lt;_xlpm.lastCol)),COLUMN(_xlpm.rng),0)),
        _xlpm.lastVal,INDEX(B63:N63,1,_xlpm.lastCol-1),
        _xlpm.secondLastVal,INDEX(B63:N63,1,_xlpm.secondLastCol-1),
        IF(OR(_xlpm.secondLastCol=0,_xlpm.lastCol=0),"-",(_xlpm.lastVal-_xlpm.secondLastVal)/ABS(_xlpm.secondLastVal))
    ),"-")</f>
        <v>-</v>
      </c>
      <c r="P63" s="40">
        <f t="shared" si="11"/>
        <v>0</v>
      </c>
    </row>
    <row r="64" spans="1:16" x14ac:dyDescent="0.25">
      <c r="A64" s="39" t="s">
        <v>21</v>
      </c>
      <c r="B64" s="40">
        <v>0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50" t="str">
        <f t="array" ref="O64">IFERROR(_xlfn.LET(
        _xlpm.rng,B64:N64,
        _xlpm.lastCol,MAX(IF(ISNUMBER(_xlpm.rng)*(_xlpm.rng&lt;&gt;0),COLUMN(_xlpm.rng),0)),
        _xlpm.secondLastCol,MAX(IF((ISNUMBER(_xlpm.rng)*(_xlpm.rng&lt;&gt;0)*(COLUMN(_xlpm.rng)&lt;_xlpm.lastCol)),COLUMN(_xlpm.rng),0)),
        _xlpm.lastVal,INDEX(B64:N64,1,_xlpm.lastCol-1),
        _xlpm.secondLastVal,INDEX(B64:N64,1,_xlpm.secondLastCol-1),
        IF(OR(_xlpm.secondLastCol=0,_xlpm.lastCol=0),"-",(_xlpm.lastVal-_xlpm.secondLastVal)/ABS(_xlpm.secondLastVal))
    ),"-")</f>
        <v>-</v>
      </c>
      <c r="P64" s="40">
        <f t="shared" si="11"/>
        <v>0</v>
      </c>
    </row>
    <row r="65" ht="15.75" customHeight="1" spans="1:16" x14ac:dyDescent="0.25">
      <c r="A65" s="34" t="s">
        <v>17</v>
      </c>
      <c r="B65" s="35" t="s">
        <v>82</v>
      </c>
      <c r="C65" s="35" t="s">
        <v>83</v>
      </c>
      <c r="D65" s="35" t="s">
        <v>84</v>
      </c>
      <c r="E65" s="35" t="s">
        <v>85</v>
      </c>
      <c r="F65" s="36" t="s">
        <v>86</v>
      </c>
      <c r="G65" s="35" t="s">
        <v>87</v>
      </c>
      <c r="H65" s="35" t="s">
        <v>88</v>
      </c>
      <c r="I65" s="35" t="s">
        <v>89</v>
      </c>
      <c r="J65" s="36" t="s">
        <v>90</v>
      </c>
      <c r="K65" s="36" t="s">
        <v>91</v>
      </c>
      <c r="L65" s="36" t="s">
        <v>92</v>
      </c>
      <c r="M65" s="36" t="s">
        <v>93</v>
      </c>
      <c r="N65" s="36" t="s">
        <v>94</v>
      </c>
      <c r="O65" s="37" t="s">
        <v>41</v>
      </c>
      <c r="P65" s="38" t="s">
        <v>42</v>
      </c>
    </row>
    <row r="66" spans="1:16" x14ac:dyDescent="0.25">
      <c r="A66" s="39" t="s">
        <v>19</v>
      </c>
      <c r="B66" s="40">
        <f>SUMIF(Taival_WL!$A:$A,"&lt;="&amp;B65,Taival_WL!$H:$H)-SUMIF(Taival_WL!$A:$A,"&lt;="&amp;N48,Taival_WL!$H:$H)</f>
        <v>0</v>
      </c>
      <c r="C66" s="40">
        <f>SUMIFS(Taival_WL!$H:$H,Taival_WL!$A:$A,"&gt;"&amp;B65,Taival_WL!$A:$A,"&lt;="&amp;C65)</f>
        <v>0</v>
      </c>
      <c r="D66" s="40">
        <f>SUMIFS(Taival_WL!$H:$H,Taival_WL!$A:$A,"&gt;"&amp;C65,Taival_WL!$A:$A,"&lt;="&amp;D65)</f>
        <v>0</v>
      </c>
      <c r="E66" s="40">
        <f>SUMIFS(Taival_WL!$H:$H,Taival_WL!$A:$A,"&gt;"&amp;D65,Taival_WL!$A:$A,"&lt;="&amp;E65)</f>
        <v>0</v>
      </c>
      <c r="F66" s="41">
        <f>SUMIFS(Taival_WL!$H:$H,Taival_WL!$A:$A,"&gt;"&amp;E65,Taival_WL!$A:$A,"&lt;="&amp;F65)</f>
        <v>0</v>
      </c>
      <c r="G66" s="40">
        <f>SUMIFS(Taival_WL!$H:$H,Taival_WL!$A:$A,"&gt;"&amp;F65,Taival_WL!$A:$A,"&lt;="&amp;G65)</f>
        <v>0</v>
      </c>
      <c r="H66" s="40">
        <f>SUMIFS(Taival_WL!$H:$H,Taival_WL!$A:$A,"&gt;"&amp;G65,Taival_WL!$A:$A,"&lt;="&amp;H65)</f>
        <v>0</v>
      </c>
      <c r="I66" s="40">
        <f>SUMIFS(Taival_WL!$H:$H,Taival_WL!$A:$A,"&gt;"&amp;H65,Taival_WL!$A:$A,"&lt;="&amp;I65)</f>
        <v>0</v>
      </c>
      <c r="J66" s="41">
        <f>SUMIFS(Taival_WL!$H:$H,Taival_WL!$A:$A,"&gt;"&amp;I65,Taival_WL!$A:$A,"&lt;="&amp;J65)</f>
        <v>0</v>
      </c>
      <c r="K66" s="40">
        <f>SUMIFS(Taival_WL!$H:$H,Taival_WL!$A:$A,"&gt;"&amp;J65,Taival_WL!$A:$A,"&lt;="&amp;K65)</f>
        <v>0</v>
      </c>
      <c r="L66" s="40">
        <f>SUMIFS(Taival_WL!$H:$H,Taival_WL!$A:$A,"&gt;"&amp;K65,Taival_WL!$A:$A,"&lt;="&amp;L65)</f>
        <v>0</v>
      </c>
      <c r="M66" s="40">
        <f>SUMIFS(Taival_WL!$H:$H,Taival_WL!$A:$A,"&gt;"&amp;L65,Taival_WL!$A:$A,"&lt;="&amp;M65)</f>
        <v>0</v>
      </c>
      <c r="N66" s="40">
        <f>SUMIFS(Taival_WL!$H:$H,Taival_WL!$A:$A,"&gt;"&amp;M65,Taival_WL!$A:$A,"&lt;="&amp;N65)</f>
        <v>0</v>
      </c>
      <c r="O66" s="50" t="str">
        <f t="array" ref="O66">IFERROR(_xlfn.LET(
        _xlpm.rng,B66:N66,
        _xlpm.lastCol,MAX(IF(ISNUMBER(_xlpm.rng)*(_xlpm.rng&lt;&gt;0),COLUMN(_xlpm.rng),0)),
        _xlpm.secondLastCol,MAX(IF((ISNUMBER(_xlpm.rng)*(_xlpm.rng&lt;&gt;0)*(COLUMN(_xlpm.rng)&lt;_xlpm.lastCol)),COLUMN(_xlpm.rng),0)),
        _xlpm.lastVal,INDEX(B66:N66,1,_xlpm.lastCol-1),
        _xlpm.secondLastVal,INDEX(B66:N66,1,_xlpm.secondLastCol-1),
        IF(OR(_xlpm.secondLastCol=0,_xlpm.lastCol=0),"-",(_xlpm.lastVal-_xlpm.secondLastVal)/ABS(_xlpm.secondLastVal))
    ),"-")</f>
        <v>-</v>
      </c>
      <c r="P66" s="40">
        <f t="shared" ref="P66:P68" si="12">SUM(B66:N66)</f>
        <v>0</v>
      </c>
    </row>
    <row r="67" spans="1:16" x14ac:dyDescent="0.25">
      <c r="A67" s="39" t="s">
        <v>20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50" t="str">
        <f t="array" ref="O67">IFERROR(_xlfn.LET(
        _xlpm.rng,B67:N67,
        _xlpm.lastCol,MAX(IF(ISNUMBER(_xlpm.rng)*(_xlpm.rng&lt;&gt;0),COLUMN(_xlpm.rng),0)),
        _xlpm.secondLastCol,MAX(IF((ISNUMBER(_xlpm.rng)*(_xlpm.rng&lt;&gt;0)*(COLUMN(_xlpm.rng)&lt;_xlpm.lastCol)),COLUMN(_xlpm.rng),0)),
        _xlpm.lastVal,INDEX(B67:N67,1,_xlpm.lastCol-1),
        _xlpm.secondLastVal,INDEX(B67:N67,1,_xlpm.secondLastCol-1),
        IF(OR(_xlpm.secondLastCol=0,_xlpm.lastCol=0),"-",(_xlpm.lastVal-_xlpm.secondLastVal)/ABS(_xlpm.secondLastVal))
    ),"-")</f>
        <v>-</v>
      </c>
      <c r="P67" s="40">
        <f t="shared" si="12"/>
        <v>0</v>
      </c>
    </row>
    <row r="68" spans="1:16" x14ac:dyDescent="0.25">
      <c r="A68" s="39" t="s">
        <v>21</v>
      </c>
      <c r="B68" s="40">
        <v>0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50" t="str">
        <f t="array" ref="O68">IFERROR(_xlfn.LET(
        _xlpm.rng,B68:N68,
        _xlpm.lastCol,MAX(IF(ISNUMBER(_xlpm.rng)*(_xlpm.rng&lt;&gt;0),COLUMN(_xlpm.rng),0)),
        _xlpm.secondLastCol,MAX(IF((ISNUMBER(_xlpm.rng)*(_xlpm.rng&lt;&gt;0)*(COLUMN(_xlpm.rng)&lt;_xlpm.lastCol)),COLUMN(_xlpm.rng),0)),
        _xlpm.lastVal,INDEX(B68:N68,1,_xlpm.lastCol-1),
        _xlpm.secondLastVal,INDEX(B68:N68,1,_xlpm.secondLastCol-1),
        IF(OR(_xlpm.secondLastCol=0,_xlpm.lastCol=0),"-",(_xlpm.lastVal-_xlpm.secondLastVal)/ABS(_xlpm.secondLastVal))
    ),"-")</f>
        <v>-</v>
      </c>
      <c r="P68" s="40">
        <f t="shared" si="12"/>
        <v>0</v>
      </c>
    </row>
    <row r="70" spans="1:16" x14ac:dyDescent="0.25">
      <c r="A70" s="31" t="s">
        <v>95</v>
      </c>
      <c r="B70" s="31" t="s">
        <v>28</v>
      </c>
      <c r="C70" s="31" t="s">
        <v>29</v>
      </c>
      <c r="D70" s="31" t="s">
        <v>30</v>
      </c>
      <c r="E70" s="31" t="s">
        <v>31</v>
      </c>
      <c r="F70" s="31" t="s">
        <v>32</v>
      </c>
      <c r="G70" s="31" t="s">
        <v>33</v>
      </c>
      <c r="H70" s="31" t="s">
        <v>34</v>
      </c>
      <c r="I70" s="31" t="s">
        <v>35</v>
      </c>
      <c r="J70" s="31" t="s">
        <v>36</v>
      </c>
      <c r="K70" s="31" t="s">
        <v>37</v>
      </c>
      <c r="L70" s="31" t="s">
        <v>38</v>
      </c>
      <c r="M70" s="31" t="s">
        <v>39</v>
      </c>
      <c r="N70" s="31" t="s">
        <v>40</v>
      </c>
      <c r="O70" s="31" t="s">
        <v>41</v>
      </c>
      <c r="P70" s="31" t="s">
        <v>42</v>
      </c>
    </row>
    <row r="71" spans="1:16" x14ac:dyDescent="0.25">
      <c r="A71" s="31" t="s">
        <v>19</v>
      </c>
      <c r="B71" s="31">
        <f>SUMIF('Noor_WL'!$A:$A,"&lt;="&amp;B70,'Noor_WL'!$H:$H)</f>
      </c>
      <c r="C71" s="31">
        <f>SUMIFS('Noor_WL'!$H:$H,'Noor_WL'!$A:$A,"&gt;"&amp;B70,'Noor_WL'!$A:$A,"&lt;="&amp;C70)</f>
      </c>
      <c r="D71" s="31">
        <f>SUMIFS('Noor_WL'!$H:$H,'Noor_WL'!$A:$A,"&gt;"&amp;C70,'Noor_WL'!$A:$A,"&lt;="&amp;D70)</f>
      </c>
      <c r="E71" s="31">
        <f>SUMIFS('Noor_WL'!$H:$H,'Noor_WL'!$A:$A,"&gt;"&amp;D70,'Noor_WL'!$A:$A,"&lt;="&amp;E70)</f>
      </c>
      <c r="F71" s="31">
        <f>SUMIFS('Noor_WL'!$H:$H,'Noor_WL'!$A:$A,"&gt;"&amp;E70,'Noor_WL'!$A:$A,"&lt;="&amp;F70)</f>
      </c>
      <c r="G71" s="31">
        <f>SUMIFS('Noor_WL'!$H:$H,'Noor_WL'!$A:$A,"&gt;"&amp;F70,'Noor_WL'!$A:$A,"&lt;="&amp;G70)</f>
      </c>
      <c r="H71" s="31">
        <f>SUMIFS('Noor_WL'!$H:$H,'Noor_WL'!$A:$A,"&gt;"&amp;G70,'Noor_WL'!$A:$A,"&lt;="&amp;H70)</f>
      </c>
      <c r="I71" s="31">
        <f>SUMIFS('Noor_WL'!$H:$H,'Noor_WL'!$A:$A,"&gt;"&amp;H70,'Noor_WL'!$A:$A,"&lt;="&amp;I70)</f>
      </c>
      <c r="J71" s="31">
        <f>SUMIFS('Noor_WL'!$H:$H,'Noor_WL'!$A:$A,"&gt;"&amp;I70,'Noor_WL'!$A:$A,"&lt;="&amp;J70)</f>
      </c>
      <c r="K71" s="31">
        <f>SUMIFS('Noor_WL'!$H:$H,'Noor_WL'!$A:$A,"&gt;"&amp;J70,'Noor_WL'!$A:$A,"&lt;="&amp;K70)</f>
      </c>
      <c r="L71" s="31">
        <f>SUMIFS('Noor_WL'!$H:$H,'Noor_WL'!$A:$A,"&gt;"&amp;K70,'Noor_WL'!$A:$A,"&lt;="&amp;L70)</f>
      </c>
      <c r="M71" s="31">
        <f>SUMIFS('Noor_WL'!$H:$H,'Noor_WL'!$A:$A,"&gt;"&amp;L70,'Noor_WL'!$A:$A,"&lt;="&amp;M70)</f>
      </c>
      <c r="N71" s="31">
        <f>SUMIFS('Noor_WL'!$H:$H,'Noor_WL'!$A:$A,"&gt;"&amp;M70,'Noor_WL'!$A:$A,"&lt;="&amp;N70)</f>
      </c>
      <c r="P71" s="31">
        <f>SUM(B71:N71)</f>
      </c>
    </row>
    <row r="72" spans="1:16" x14ac:dyDescent="0.25">
      <c r="A72" s="31" t="s">
        <v>20</v>
      </c>
      <c r="P72" s="31">
        <f>SUM(B72:N72)</f>
      </c>
    </row>
    <row r="73" spans="1:16" x14ac:dyDescent="0.25">
      <c r="A73" s="31" t="s">
        <v>21</v>
      </c>
      <c r="P73" s="31">
        <f>SUM(B73:N73)</f>
      </c>
    </row>
    <row r="75" spans="1:16" x14ac:dyDescent="0.25">
      <c r="A75" s="31" t="s">
        <v>95</v>
      </c>
      <c r="B75" s="31" t="s">
        <v>47</v>
      </c>
      <c r="C75" s="31" t="s">
        <v>48</v>
      </c>
      <c r="D75" s="31" t="s">
        <v>49</v>
      </c>
      <c r="E75" s="31" t="s">
        <v>50</v>
      </c>
      <c r="F75" s="31" t="s">
        <v>51</v>
      </c>
      <c r="G75" s="31" t="s">
        <v>52</v>
      </c>
      <c r="H75" s="31" t="s">
        <v>53</v>
      </c>
      <c r="I75" s="31" t="s">
        <v>54</v>
      </c>
      <c r="J75" s="31" t="s">
        <v>55</v>
      </c>
      <c r="K75" s="31" t="s">
        <v>56</v>
      </c>
      <c r="L75" s="31" t="s">
        <v>57</v>
      </c>
      <c r="M75" s="31" t="s">
        <v>58</v>
      </c>
      <c r="N75" s="31" t="s">
        <v>59</v>
      </c>
      <c r="O75" s="31" t="s">
        <v>41</v>
      </c>
      <c r="P75" s="31" t="s">
        <v>42</v>
      </c>
    </row>
    <row r="76" spans="1:16" x14ac:dyDescent="0.25">
      <c r="A76" s="31" t="s">
        <v>19</v>
      </c>
      <c r="B76" s="31">
        <f>SUMIF('Noor_WL'!$A:$A,"&lt;="&amp;B75,'Noor_WL'!$H:$H)</f>
      </c>
      <c r="C76" s="31">
        <f>SUMIFS('Noor_WL'!$H:$H,'Noor_WL'!$A:$A,"&gt;"&amp;B75,'Noor_WL'!$A:$A,"&lt;="&amp;C75)</f>
      </c>
      <c r="D76" s="31">
        <f>SUMIFS('Noor_WL'!$H:$H,'Noor_WL'!$A:$A,"&gt;"&amp;C75,'Noor_WL'!$A:$A,"&lt;="&amp;D75)</f>
      </c>
      <c r="E76" s="31">
        <f>SUMIFS('Noor_WL'!$H:$H,'Noor_WL'!$A:$A,"&gt;"&amp;D75,'Noor_WL'!$A:$A,"&lt;="&amp;E75)</f>
      </c>
      <c r="F76" s="31">
        <f>SUMIFS('Noor_WL'!$H:$H,'Noor_WL'!$A:$A,"&gt;"&amp;E75,'Noor_WL'!$A:$A,"&lt;="&amp;F75)</f>
      </c>
      <c r="G76" s="31">
        <f>SUMIFS('Noor_WL'!$H:$H,'Noor_WL'!$A:$A,"&gt;"&amp;F75,'Noor_WL'!$A:$A,"&lt;="&amp;G75)</f>
      </c>
      <c r="H76" s="31">
        <f>SUMIFS('Noor_WL'!$H:$H,'Noor_WL'!$A:$A,"&gt;"&amp;G75,'Noor_WL'!$A:$A,"&lt;="&amp;H75)</f>
      </c>
      <c r="I76" s="31">
        <f>SUMIFS('Noor_WL'!$H:$H,'Noor_WL'!$A:$A,"&gt;"&amp;H75,'Noor_WL'!$A:$A,"&lt;="&amp;I75)</f>
      </c>
      <c r="J76" s="31">
        <f>SUMIFS('Noor_WL'!$H:$H,'Noor_WL'!$A:$A,"&gt;"&amp;I75,'Noor_WL'!$A:$A,"&lt;="&amp;J75)</f>
      </c>
      <c r="K76" s="31">
        <f>SUMIFS('Noor_WL'!$H:$H,'Noor_WL'!$A:$A,"&gt;"&amp;J75,'Noor_WL'!$A:$A,"&lt;="&amp;K75)</f>
      </c>
      <c r="L76" s="31">
        <f>SUMIFS('Noor_WL'!$H:$H,'Noor_WL'!$A:$A,"&gt;"&amp;K75,'Noor_WL'!$A:$A,"&lt;="&amp;L75)</f>
      </c>
      <c r="M76" s="31">
        <f>SUMIFS('Noor_WL'!$H:$H,'Noor_WL'!$A:$A,"&gt;"&amp;L75,'Noor_WL'!$A:$A,"&lt;="&amp;M75)</f>
      </c>
      <c r="N76" s="31">
        <f>SUMIFS('Noor_WL'!$H:$H,'Noor_WL'!$A:$A,"&gt;"&amp;M75,'Noor_WL'!$A:$A,"&lt;="&amp;N75)</f>
      </c>
      <c r="P76" s="31">
        <f>SUM(B76:N76)</f>
      </c>
    </row>
    <row r="77" spans="1:16" x14ac:dyDescent="0.25">
      <c r="A77" s="31" t="s">
        <v>20</v>
      </c>
      <c r="B77" s="31">
        <v>4211</v>
      </c>
      <c r="C77" s="31">
        <v>6501</v>
      </c>
      <c r="D77" s="31">
        <v>8297</v>
      </c>
      <c r="E77" s="31">
        <v>4988</v>
      </c>
      <c r="F77" s="31">
        <v>2379</v>
      </c>
      <c r="P77" s="31">
        <f>SUM(B77:N77)</f>
      </c>
    </row>
    <row r="78" spans="1:16" x14ac:dyDescent="0.25">
      <c r="A78" s="31" t="s">
        <v>21</v>
      </c>
      <c r="B78" s="31">
        <v>864</v>
      </c>
      <c r="C78" s="31">
        <v>1173</v>
      </c>
      <c r="D78" s="31">
        <v>1299</v>
      </c>
      <c r="E78" s="31">
        <v>903</v>
      </c>
      <c r="F78" s="31">
        <v>550</v>
      </c>
      <c r="P78" s="31">
        <f>SUM(B78:N78)</f>
      </c>
    </row>
    <row r="80" spans="1:16" x14ac:dyDescent="0.25">
      <c r="A80" s="31" t="s">
        <v>95</v>
      </c>
      <c r="B80" s="31" t="s">
        <v>68</v>
      </c>
      <c r="C80" s="31" t="s">
        <v>69</v>
      </c>
      <c r="D80" s="31" t="s">
        <v>70</v>
      </c>
      <c r="E80" s="31" t="s">
        <v>71</v>
      </c>
      <c r="F80" s="31" t="s">
        <v>72</v>
      </c>
      <c r="G80" s="31" t="s">
        <v>73</v>
      </c>
      <c r="H80" s="31" t="s">
        <v>74</v>
      </c>
      <c r="I80" s="31" t="s">
        <v>75</v>
      </c>
      <c r="J80" s="31" t="s">
        <v>76</v>
      </c>
      <c r="K80" s="31" t="s">
        <v>77</v>
      </c>
      <c r="L80" s="31" t="s">
        <v>78</v>
      </c>
      <c r="M80" s="31" t="s">
        <v>79</v>
      </c>
      <c r="N80" s="31" t="s">
        <v>80</v>
      </c>
      <c r="O80" s="31" t="s">
        <v>41</v>
      </c>
      <c r="P80" s="31" t="s">
        <v>42</v>
      </c>
    </row>
    <row r="81" spans="1:16" x14ac:dyDescent="0.25">
      <c r="A81" s="31" t="s">
        <v>19</v>
      </c>
      <c r="B81" s="31">
        <f>SUMIF('Noor_WL'!$A:$A,"&lt;="&amp;B80,'Noor_WL'!$H:$H)</f>
      </c>
      <c r="C81" s="31">
        <f>SUMIFS('Noor_WL'!$H:$H,'Noor_WL'!$A:$A,"&gt;"&amp;B80,'Noor_WL'!$A:$A,"&lt;="&amp;C80)</f>
      </c>
      <c r="D81" s="31">
        <f>SUMIFS('Noor_WL'!$H:$H,'Noor_WL'!$A:$A,"&gt;"&amp;C80,'Noor_WL'!$A:$A,"&lt;="&amp;D80)</f>
      </c>
      <c r="E81" s="31">
        <f>SUMIFS('Noor_WL'!$H:$H,'Noor_WL'!$A:$A,"&gt;"&amp;D80,'Noor_WL'!$A:$A,"&lt;="&amp;E80)</f>
      </c>
      <c r="F81" s="31">
        <f>SUMIFS('Noor_WL'!$H:$H,'Noor_WL'!$A:$A,"&gt;"&amp;E80,'Noor_WL'!$A:$A,"&lt;="&amp;F80)</f>
      </c>
      <c r="G81" s="31">
        <f>SUMIFS('Noor_WL'!$H:$H,'Noor_WL'!$A:$A,"&gt;"&amp;F80,'Noor_WL'!$A:$A,"&lt;="&amp;G80)</f>
      </c>
      <c r="H81" s="31">
        <f>SUMIFS('Noor_WL'!$H:$H,'Noor_WL'!$A:$A,"&gt;"&amp;G80,'Noor_WL'!$A:$A,"&lt;="&amp;H80)</f>
      </c>
      <c r="I81" s="31">
        <f>SUMIFS('Noor_WL'!$H:$H,'Noor_WL'!$A:$A,"&gt;"&amp;H80,'Noor_WL'!$A:$A,"&lt;="&amp;I80)</f>
      </c>
      <c r="J81" s="31">
        <f>SUMIFS('Noor_WL'!$H:$H,'Noor_WL'!$A:$A,"&gt;"&amp;I80,'Noor_WL'!$A:$A,"&lt;="&amp;J80)</f>
      </c>
      <c r="K81" s="31">
        <f>SUMIFS('Noor_WL'!$H:$H,'Noor_WL'!$A:$A,"&gt;"&amp;J80,'Noor_WL'!$A:$A,"&lt;="&amp;K80)</f>
      </c>
      <c r="L81" s="31">
        <f>SUMIFS('Noor_WL'!$H:$H,'Noor_WL'!$A:$A,"&gt;"&amp;K80,'Noor_WL'!$A:$A,"&lt;="&amp;L80)</f>
      </c>
      <c r="M81" s="31">
        <f>SUMIFS('Noor_WL'!$H:$H,'Noor_WL'!$A:$A,"&gt;"&amp;L80,'Noor_WL'!$A:$A,"&lt;="&amp;M80)</f>
      </c>
      <c r="N81" s="31">
        <f>SUMIFS('Noor_WL'!$H:$H,'Noor_WL'!$A:$A,"&gt;"&amp;M80,'Noor_WL'!$A:$A,"&lt;="&amp;N80)</f>
      </c>
      <c r="P81" s="31">
        <f>SUM(B81:N81)</f>
      </c>
    </row>
    <row r="82" spans="1:16" x14ac:dyDescent="0.25">
      <c r="A82" s="31" t="s">
        <v>20</v>
      </c>
      <c r="P82" s="31">
        <f>SUM(B82:N82)</f>
      </c>
    </row>
    <row r="83" spans="1:16" x14ac:dyDescent="0.25">
      <c r="A83" s="31" t="s">
        <v>21</v>
      </c>
      <c r="P83" s="31">
        <f>SUM(B83:N83)</f>
      </c>
    </row>
    <row r="85" spans="1:16" x14ac:dyDescent="0.25">
      <c r="A85" s="31" t="s">
        <v>95</v>
      </c>
      <c r="B85" s="31" t="s">
        <v>82</v>
      </c>
      <c r="C85" s="31" t="s">
        <v>83</v>
      </c>
      <c r="D85" s="31" t="s">
        <v>84</v>
      </c>
      <c r="E85" s="31" t="s">
        <v>85</v>
      </c>
      <c r="F85" s="31" t="s">
        <v>86</v>
      </c>
      <c r="G85" s="31" t="s">
        <v>87</v>
      </c>
      <c r="H85" s="31" t="s">
        <v>88</v>
      </c>
      <c r="I85" s="31" t="s">
        <v>89</v>
      </c>
      <c r="J85" s="31" t="s">
        <v>90</v>
      </c>
      <c r="K85" s="31" t="s">
        <v>91</v>
      </c>
      <c r="L85" s="31" t="s">
        <v>92</v>
      </c>
      <c r="M85" s="31" t="s">
        <v>93</v>
      </c>
      <c r="N85" s="31" t="s">
        <v>94</v>
      </c>
      <c r="O85" s="31" t="s">
        <v>41</v>
      </c>
      <c r="P85" s="31" t="s">
        <v>42</v>
      </c>
    </row>
    <row r="86" spans="1:16" x14ac:dyDescent="0.25">
      <c r="A86" s="31" t="s">
        <v>19</v>
      </c>
      <c r="B86" s="31">
        <f>SUMIF('Noor_WL'!$A:$A,"&lt;="&amp;B85,'Noor_WL'!$H:$H)</f>
      </c>
      <c r="C86" s="31">
        <f>SUMIFS('Noor_WL'!$H:$H,'Noor_WL'!$A:$A,"&gt;"&amp;B85,'Noor_WL'!$A:$A,"&lt;="&amp;C85)</f>
      </c>
      <c r="D86" s="31">
        <f>SUMIFS('Noor_WL'!$H:$H,'Noor_WL'!$A:$A,"&gt;"&amp;C85,'Noor_WL'!$A:$A,"&lt;="&amp;D85)</f>
      </c>
      <c r="E86" s="31">
        <f>SUMIFS('Noor_WL'!$H:$H,'Noor_WL'!$A:$A,"&gt;"&amp;D85,'Noor_WL'!$A:$A,"&lt;="&amp;E85)</f>
      </c>
      <c r="F86" s="31">
        <f>SUMIFS('Noor_WL'!$H:$H,'Noor_WL'!$A:$A,"&gt;"&amp;E85,'Noor_WL'!$A:$A,"&lt;="&amp;F85)</f>
      </c>
      <c r="G86" s="31">
        <f>SUMIFS('Noor_WL'!$H:$H,'Noor_WL'!$A:$A,"&gt;"&amp;F85,'Noor_WL'!$A:$A,"&lt;="&amp;G85)</f>
      </c>
      <c r="H86" s="31">
        <f>SUMIFS('Noor_WL'!$H:$H,'Noor_WL'!$A:$A,"&gt;"&amp;G85,'Noor_WL'!$A:$A,"&lt;="&amp;H85)</f>
      </c>
      <c r="I86" s="31">
        <f>SUMIFS('Noor_WL'!$H:$H,'Noor_WL'!$A:$A,"&gt;"&amp;H85,'Noor_WL'!$A:$A,"&lt;="&amp;I85)</f>
      </c>
      <c r="J86" s="31">
        <f>SUMIFS('Noor_WL'!$H:$H,'Noor_WL'!$A:$A,"&gt;"&amp;I85,'Noor_WL'!$A:$A,"&lt;="&amp;J85)</f>
      </c>
      <c r="K86" s="31">
        <f>SUMIFS('Noor_WL'!$H:$H,'Noor_WL'!$A:$A,"&gt;"&amp;J85,'Noor_WL'!$A:$A,"&lt;="&amp;K85)</f>
      </c>
      <c r="L86" s="31">
        <f>SUMIFS('Noor_WL'!$H:$H,'Noor_WL'!$A:$A,"&gt;"&amp;K85,'Noor_WL'!$A:$A,"&lt;="&amp;L85)</f>
      </c>
      <c r="M86" s="31">
        <f>SUMIFS('Noor_WL'!$H:$H,'Noor_WL'!$A:$A,"&gt;"&amp;L85,'Noor_WL'!$A:$A,"&lt;="&amp;M85)</f>
      </c>
      <c r="N86" s="31">
        <f>SUMIFS('Noor_WL'!$H:$H,'Noor_WL'!$A:$A,"&gt;"&amp;M85,'Noor_WL'!$A:$A,"&lt;="&amp;N85)</f>
      </c>
      <c r="P86" s="31">
        <f>SUM(B86:N86)</f>
      </c>
    </row>
    <row r="87" spans="1:16" x14ac:dyDescent="0.25">
      <c r="A87" s="31" t="s">
        <v>20</v>
      </c>
      <c r="P87" s="31">
        <f>SUM(B87:N87)</f>
      </c>
    </row>
    <row r="88" spans="1:16" x14ac:dyDescent="0.25">
      <c r="A88" s="31" t="s">
        <v>21</v>
      </c>
      <c r="P88" s="31">
        <f>SUM(B88:N88)</f>
      </c>
    </row>
  </sheetData>
  <mergeCells count="5">
    <mergeCell ref="A1:O1"/>
    <mergeCell ref="R14:V22"/>
    <mergeCell ref="A18:O18"/>
    <mergeCell ref="A35:O35"/>
    <mergeCell ref="A52:O52"/>
  </mergeCells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9"/>
  <sheetViews>
    <sheetView workbookViewId="0" zoomScale="100" zoomScaleNormal="100">
      <selection activeCell="I122" sqref="I122"/>
    </sheetView>
  </sheetViews>
  <sheetFormatPr defaultRowHeight="15" outlineLevelRow="0" outlineLevelCol="0" x14ac:dyDescent="0"/>
  <cols>
    <col min="1" max="1" width="10.42578125" customWidth="1"/>
    <col min="2" max="2" width="6.28515625" customWidth="1"/>
    <col min="3" max="3" width="5.42578125" customWidth="1"/>
    <col min="4" max="4" width="7.42578125" customWidth="1"/>
    <col min="5" max="5" width="24.7109375" customWidth="1"/>
    <col min="6" max="6" width="5" customWidth="1"/>
    <col min="7" max="7" width="11.85546875" customWidth="1"/>
    <col min="8" max="8" width="10.5703125" customWidth="1"/>
    <col min="9" max="9" width="11.42578125" customWidth="1"/>
  </cols>
  <sheetData>
    <row r="1" spans="1:9" x14ac:dyDescent="0.25">
      <c r="A1" s="53" t="s">
        <v>96</v>
      </c>
      <c r="B1" s="53" t="s">
        <v>0</v>
      </c>
      <c r="C1" s="53" t="s">
        <v>97</v>
      </c>
      <c r="D1" s="53" t="s">
        <v>98</v>
      </c>
      <c r="E1" s="53" t="s">
        <v>99</v>
      </c>
      <c r="F1" s="53" t="s">
        <v>100</v>
      </c>
      <c r="G1" s="54" t="s">
        <v>101</v>
      </c>
      <c r="H1" s="53" t="s">
        <v>102</v>
      </c>
      <c r="I1" s="53" t="s">
        <v>103</v>
      </c>
    </row>
    <row r="2" spans="1:9" x14ac:dyDescent="0.25">
      <c r="A2" s="55">
        <v>46023</v>
      </c>
      <c r="B2" s="56" t="s">
        <v>14</v>
      </c>
      <c r="C2" s="56">
        <v>6</v>
      </c>
      <c r="D2" s="56">
        <v>2</v>
      </c>
      <c r="E2" s="56">
        <v>0</v>
      </c>
      <c r="F2" s="56">
        <v>0</v>
      </c>
      <c r="G2" s="57">
        <f>SUM(F2,E2,C2-D2)</f>
        <v>4</v>
      </c>
      <c r="H2" s="58">
        <f>SUM(G2:G5)</f>
        <v>4</v>
      </c>
      <c r="I2" s="59">
        <f>SUM(G2:G60)</f>
        <v>47</v>
      </c>
    </row>
    <row r="3" spans="1:9" x14ac:dyDescent="0.25">
      <c r="A3" s="55">
        <v>46024</v>
      </c>
      <c r="B3" s="56" t="s">
        <v>14</v>
      </c>
      <c r="C3" s="56">
        <v>2</v>
      </c>
      <c r="D3" s="56">
        <v>4</v>
      </c>
      <c r="E3" s="56">
        <v>0</v>
      </c>
      <c r="F3" s="56">
        <v>0</v>
      </c>
      <c r="G3" s="57">
        <f t="shared" ref="G3:G66" si="0">SUM(F3,E3,C3-D3)</f>
        <v>-2</v>
      </c>
      <c r="H3" s="60"/>
      <c r="I3" s="59"/>
    </row>
    <row r="4" spans="1:15" x14ac:dyDescent="0.25">
      <c r="A4" s="55">
        <v>46025</v>
      </c>
      <c r="B4" s="56" t="s">
        <v>14</v>
      </c>
      <c r="C4" s="56">
        <v>4</v>
      </c>
      <c r="D4" s="56">
        <v>0</v>
      </c>
      <c r="E4" s="56">
        <v>0</v>
      </c>
      <c r="F4" s="56">
        <v>0</v>
      </c>
      <c r="G4" s="57">
        <f t="shared" si="0"/>
        <v>4</v>
      </c>
      <c r="H4" s="60"/>
      <c r="I4" s="59"/>
      <c r="K4" s="15" t="s">
        <v>104</v>
      </c>
      <c r="L4" s="16"/>
      <c r="M4" s="16"/>
      <c r="N4" s="16"/>
      <c r="O4" s="16"/>
    </row>
    <row r="5" spans="1:15" x14ac:dyDescent="0.25">
      <c r="A5" s="55">
        <v>46026</v>
      </c>
      <c r="B5" s="56" t="s">
        <v>14</v>
      </c>
      <c r="C5" s="56">
        <v>1</v>
      </c>
      <c r="D5" s="56">
        <v>3</v>
      </c>
      <c r="E5" s="56">
        <v>0</v>
      </c>
      <c r="F5" s="56">
        <v>0</v>
      </c>
      <c r="G5" s="57">
        <f t="shared" si="0"/>
        <v>-2</v>
      </c>
      <c r="H5" s="61"/>
      <c r="I5" s="59"/>
      <c r="K5" s="16"/>
      <c r="L5" s="16"/>
      <c r="M5" s="16"/>
      <c r="N5" s="16"/>
      <c r="O5" s="16"/>
    </row>
    <row r="6" spans="1:15" x14ac:dyDescent="0.25">
      <c r="A6" s="55">
        <v>46027</v>
      </c>
      <c r="B6" s="56" t="s">
        <v>14</v>
      </c>
      <c r="C6" s="56">
        <v>2</v>
      </c>
      <c r="D6" s="56">
        <v>0</v>
      </c>
      <c r="E6" s="56">
        <v>0</v>
      </c>
      <c r="F6" s="56">
        <v>0</v>
      </c>
      <c r="G6" s="57">
        <f t="shared" si="0"/>
        <v>2</v>
      </c>
      <c r="H6" s="58">
        <f>SUM(G6:G12)</f>
        <v>2</v>
      </c>
      <c r="I6" s="59"/>
      <c r="K6" s="16"/>
      <c r="L6" s="16"/>
      <c r="M6" s="16"/>
      <c r="N6" s="16"/>
      <c r="O6" s="16"/>
    </row>
    <row r="7" spans="1:15" x14ac:dyDescent="0.25">
      <c r="A7" s="55">
        <v>46028</v>
      </c>
      <c r="B7" s="56" t="s">
        <v>14</v>
      </c>
      <c r="C7" s="56">
        <v>2</v>
      </c>
      <c r="D7" s="56">
        <v>2</v>
      </c>
      <c r="E7" s="56">
        <v>0</v>
      </c>
      <c r="F7" s="56">
        <v>0</v>
      </c>
      <c r="G7" s="57">
        <f t="shared" si="0"/>
        <v>0</v>
      </c>
      <c r="H7" s="60"/>
      <c r="I7" s="59"/>
      <c r="K7" s="16"/>
      <c r="L7" s="16"/>
      <c r="M7" s="16"/>
      <c r="N7" s="16"/>
      <c r="O7" s="16"/>
    </row>
    <row r="8" spans="1:15" x14ac:dyDescent="0.25">
      <c r="A8" s="55">
        <v>46029</v>
      </c>
      <c r="B8" s="56" t="s">
        <v>14</v>
      </c>
      <c r="C8" s="56">
        <v>0</v>
      </c>
      <c r="D8" s="56">
        <v>0</v>
      </c>
      <c r="E8" s="56">
        <v>0</v>
      </c>
      <c r="F8" s="56">
        <v>0</v>
      </c>
      <c r="G8" s="57">
        <f t="shared" si="0"/>
        <v>0</v>
      </c>
      <c r="H8" s="60"/>
      <c r="I8" s="59"/>
      <c r="K8" s="16"/>
      <c r="L8" s="16"/>
      <c r="M8" s="16"/>
      <c r="N8" s="16"/>
      <c r="O8" s="16"/>
    </row>
    <row r="9" spans="1:15" x14ac:dyDescent="0.25">
      <c r="A9" s="55">
        <v>46030</v>
      </c>
      <c r="B9" s="56" t="s">
        <v>14</v>
      </c>
      <c r="C9" s="56">
        <v>2</v>
      </c>
      <c r="D9" s="56">
        <v>2</v>
      </c>
      <c r="E9" s="56">
        <v>0</v>
      </c>
      <c r="F9" s="56">
        <v>0</v>
      </c>
      <c r="G9" s="57">
        <f t="shared" si="0"/>
        <v>0</v>
      </c>
      <c r="H9" s="60"/>
      <c r="I9" s="59"/>
      <c r="K9" s="16"/>
      <c r="L9" s="16"/>
      <c r="M9" s="16"/>
      <c r="N9" s="16"/>
      <c r="O9" s="16"/>
    </row>
    <row r="10" spans="1:15" x14ac:dyDescent="0.25">
      <c r="A10" s="55">
        <v>46031</v>
      </c>
      <c r="B10" s="56" t="s">
        <v>14</v>
      </c>
      <c r="C10" s="56">
        <v>1</v>
      </c>
      <c r="D10" s="56">
        <v>1</v>
      </c>
      <c r="E10" s="56">
        <v>0</v>
      </c>
      <c r="F10" s="56">
        <v>0</v>
      </c>
      <c r="G10" s="57">
        <f t="shared" si="0"/>
        <v>0</v>
      </c>
      <c r="H10" s="60"/>
      <c r="I10" s="59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14</v>
      </c>
      <c r="C11" s="56">
        <v>2</v>
      </c>
      <c r="D11" s="56">
        <v>0</v>
      </c>
      <c r="E11" s="56">
        <v>0</v>
      </c>
      <c r="F11" s="56">
        <v>0</v>
      </c>
      <c r="G11" s="57">
        <f t="shared" si="0"/>
        <v>2</v>
      </c>
      <c r="H11" s="60"/>
      <c r="I11" s="59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14</v>
      </c>
      <c r="C12" s="56">
        <v>0</v>
      </c>
      <c r="D12" s="56">
        <v>2</v>
      </c>
      <c r="E12" s="56">
        <v>0</v>
      </c>
      <c r="F12" s="56">
        <v>0</v>
      </c>
      <c r="G12" s="57">
        <f t="shared" si="0"/>
        <v>-2</v>
      </c>
      <c r="H12" s="61"/>
      <c r="I12" s="59"/>
      <c r="K12" s="16"/>
      <c r="L12" s="16"/>
      <c r="M12" s="16"/>
      <c r="N12" s="16"/>
      <c r="O12" s="16"/>
    </row>
    <row r="13" spans="1:9" x14ac:dyDescent="0.25">
      <c r="A13" s="55">
        <v>46034</v>
      </c>
      <c r="B13" s="56" t="s">
        <v>14</v>
      </c>
      <c r="C13" s="56">
        <v>2</v>
      </c>
      <c r="D13" s="56">
        <v>4</v>
      </c>
      <c r="E13" s="56">
        <v>0</v>
      </c>
      <c r="F13" s="56">
        <v>0</v>
      </c>
      <c r="G13" s="57">
        <f t="shared" si="0"/>
        <v>-2</v>
      </c>
      <c r="H13" s="58">
        <f>SUM(G13:G19)</f>
        <v>16</v>
      </c>
      <c r="I13" s="59"/>
    </row>
    <row r="14" spans="1:9" x14ac:dyDescent="0.25">
      <c r="A14" s="55">
        <v>46035</v>
      </c>
      <c r="B14" s="56" t="s">
        <v>14</v>
      </c>
      <c r="C14" s="56">
        <v>4</v>
      </c>
      <c r="D14" s="56">
        <v>1</v>
      </c>
      <c r="E14" s="56">
        <v>0</v>
      </c>
      <c r="F14" s="56">
        <v>0</v>
      </c>
      <c r="G14" s="57">
        <f t="shared" si="0"/>
        <v>3</v>
      </c>
      <c r="H14" s="60"/>
      <c r="I14" s="59"/>
    </row>
    <row r="15" spans="1:9" x14ac:dyDescent="0.25">
      <c r="A15" s="55">
        <v>46036</v>
      </c>
      <c r="B15" s="56" t="s">
        <v>14</v>
      </c>
      <c r="C15" s="56">
        <v>4</v>
      </c>
      <c r="D15" s="56">
        <v>0</v>
      </c>
      <c r="E15" s="56">
        <v>0</v>
      </c>
      <c r="F15" s="56">
        <v>0</v>
      </c>
      <c r="G15" s="57">
        <f t="shared" si="0"/>
        <v>4</v>
      </c>
      <c r="H15" s="60"/>
      <c r="I15" s="59"/>
    </row>
    <row r="16" spans="1:9" x14ac:dyDescent="0.25">
      <c r="A16" s="55">
        <v>46037</v>
      </c>
      <c r="B16" s="56" t="s">
        <v>14</v>
      </c>
      <c r="C16" s="56">
        <v>4</v>
      </c>
      <c r="D16" s="56">
        <v>1</v>
      </c>
      <c r="E16" s="56">
        <v>0</v>
      </c>
      <c r="F16" s="56">
        <v>0</v>
      </c>
      <c r="G16" s="57">
        <f t="shared" si="0"/>
        <v>3</v>
      </c>
      <c r="H16" s="60"/>
      <c r="I16" s="59"/>
    </row>
    <row r="17" spans="1:9" x14ac:dyDescent="0.25">
      <c r="A17" s="55">
        <v>46038</v>
      </c>
      <c r="B17" s="56" t="s">
        <v>14</v>
      </c>
      <c r="C17" s="56">
        <v>2</v>
      </c>
      <c r="D17" s="56">
        <v>1</v>
      </c>
      <c r="E17" s="56">
        <v>0</v>
      </c>
      <c r="F17" s="56">
        <v>0</v>
      </c>
      <c r="G17" s="57">
        <f t="shared" si="0"/>
        <v>1</v>
      </c>
      <c r="H17" s="60"/>
      <c r="I17" s="59"/>
    </row>
    <row r="18" spans="1:9" x14ac:dyDescent="0.25">
      <c r="A18" s="55">
        <v>46039</v>
      </c>
      <c r="B18" s="56" t="s">
        <v>14</v>
      </c>
      <c r="C18" s="56">
        <v>6</v>
      </c>
      <c r="D18" s="56">
        <v>2</v>
      </c>
      <c r="E18" s="56">
        <v>0</v>
      </c>
      <c r="F18" s="56">
        <v>0</v>
      </c>
      <c r="G18" s="57">
        <f t="shared" si="0"/>
        <v>4</v>
      </c>
      <c r="H18" s="60"/>
      <c r="I18" s="59"/>
    </row>
    <row r="19" spans="1:9" x14ac:dyDescent="0.25">
      <c r="A19" s="55">
        <v>46040</v>
      </c>
      <c r="B19" s="56" t="s">
        <v>14</v>
      </c>
      <c r="C19" s="56">
        <v>7</v>
      </c>
      <c r="D19" s="56">
        <v>4</v>
      </c>
      <c r="E19" s="56">
        <v>0</v>
      </c>
      <c r="F19" s="56">
        <v>0</v>
      </c>
      <c r="G19" s="57">
        <f t="shared" si="0"/>
        <v>3</v>
      </c>
      <c r="H19" s="61"/>
      <c r="I19" s="59"/>
    </row>
    <row r="20" spans="1:9" x14ac:dyDescent="0.25">
      <c r="A20" s="55">
        <v>46041</v>
      </c>
      <c r="B20" s="56" t="s">
        <v>14</v>
      </c>
      <c r="C20" s="56">
        <v>2</v>
      </c>
      <c r="D20" s="56">
        <v>2</v>
      </c>
      <c r="E20" s="56">
        <v>0</v>
      </c>
      <c r="F20" s="56">
        <v>0</v>
      </c>
      <c r="G20" s="57">
        <f t="shared" si="0"/>
        <v>0</v>
      </c>
      <c r="H20" s="58">
        <f>SUM(G20:G26)</f>
        <v>0</v>
      </c>
      <c r="I20" s="59"/>
    </row>
    <row r="21" spans="1:9" x14ac:dyDescent="0.25">
      <c r="A21" s="55">
        <v>46042</v>
      </c>
      <c r="B21" s="56" t="s">
        <v>14</v>
      </c>
      <c r="C21" s="56">
        <v>4</v>
      </c>
      <c r="D21" s="56">
        <v>4</v>
      </c>
      <c r="E21" s="56">
        <v>0</v>
      </c>
      <c r="F21" s="56">
        <v>0</v>
      </c>
      <c r="G21" s="57">
        <f t="shared" si="0"/>
        <v>0</v>
      </c>
      <c r="H21" s="60"/>
      <c r="I21" s="59"/>
    </row>
    <row r="22" spans="1:9" x14ac:dyDescent="0.25">
      <c r="A22" s="55">
        <v>46043</v>
      </c>
      <c r="B22" s="56" t="s">
        <v>14</v>
      </c>
      <c r="C22" s="56">
        <v>1</v>
      </c>
      <c r="D22" s="56">
        <v>2</v>
      </c>
      <c r="E22" s="56">
        <v>0</v>
      </c>
      <c r="F22" s="56">
        <v>0</v>
      </c>
      <c r="G22" s="57">
        <f t="shared" si="0"/>
        <v>-1</v>
      </c>
      <c r="H22" s="60"/>
      <c r="I22" s="59"/>
    </row>
    <row r="23" spans="1:9" x14ac:dyDescent="0.25">
      <c r="A23" s="55">
        <v>46044</v>
      </c>
      <c r="B23" s="56" t="s">
        <v>14</v>
      </c>
      <c r="C23" s="56">
        <v>2</v>
      </c>
      <c r="D23" s="56">
        <v>0</v>
      </c>
      <c r="E23" s="56">
        <v>0</v>
      </c>
      <c r="F23" s="56">
        <v>0</v>
      </c>
      <c r="G23" s="57">
        <f t="shared" si="0"/>
        <v>2</v>
      </c>
      <c r="H23" s="60"/>
      <c r="I23" s="59"/>
    </row>
    <row r="24" spans="1:9" x14ac:dyDescent="0.25">
      <c r="A24" s="55">
        <v>46045</v>
      </c>
      <c r="B24" s="56" t="s">
        <v>14</v>
      </c>
      <c r="C24" s="56">
        <v>1</v>
      </c>
      <c r="D24" s="56">
        <v>0</v>
      </c>
      <c r="E24" s="56">
        <v>0</v>
      </c>
      <c r="F24" s="56">
        <v>0</v>
      </c>
      <c r="G24" s="57">
        <f t="shared" si="0"/>
        <v>1</v>
      </c>
      <c r="H24" s="60"/>
      <c r="I24" s="59"/>
    </row>
    <row r="25" spans="1:9" x14ac:dyDescent="0.25">
      <c r="A25" s="55">
        <v>46046</v>
      </c>
      <c r="B25" s="56" t="s">
        <v>14</v>
      </c>
      <c r="C25" s="56">
        <v>2</v>
      </c>
      <c r="D25" s="56">
        <v>2</v>
      </c>
      <c r="E25" s="56">
        <v>0</v>
      </c>
      <c r="F25" s="56">
        <v>0</v>
      </c>
      <c r="G25" s="57">
        <f t="shared" si="0"/>
        <v>0</v>
      </c>
      <c r="H25" s="60"/>
      <c r="I25" s="59"/>
    </row>
    <row r="26" spans="1:9" x14ac:dyDescent="0.25">
      <c r="A26" s="55">
        <v>46047</v>
      </c>
      <c r="B26" s="56" t="s">
        <v>14</v>
      </c>
      <c r="C26" s="56">
        <v>2</v>
      </c>
      <c r="D26" s="56">
        <v>4</v>
      </c>
      <c r="E26" s="56">
        <v>0</v>
      </c>
      <c r="F26" s="56">
        <v>0</v>
      </c>
      <c r="G26" s="57">
        <f t="shared" si="0"/>
        <v>-2</v>
      </c>
      <c r="H26" s="61"/>
      <c r="I26" s="59"/>
    </row>
    <row r="27" spans="1:9" x14ac:dyDescent="0.25">
      <c r="A27" s="55">
        <v>46048</v>
      </c>
      <c r="B27" s="56" t="s">
        <v>14</v>
      </c>
      <c r="C27" s="56">
        <v>1</v>
      </c>
      <c r="D27" s="56">
        <v>1</v>
      </c>
      <c r="E27" s="56">
        <v>0</v>
      </c>
      <c r="F27" s="56">
        <v>0</v>
      </c>
      <c r="G27" s="57">
        <f t="shared" si="0"/>
        <v>0</v>
      </c>
      <c r="H27" s="58">
        <f>SUM(G27:G33)</f>
        <v>-2</v>
      </c>
      <c r="I27" s="59"/>
    </row>
    <row r="28" spans="1:9" x14ac:dyDescent="0.25">
      <c r="A28" s="55">
        <v>46049</v>
      </c>
      <c r="B28" s="56" t="s">
        <v>14</v>
      </c>
      <c r="C28" s="56">
        <v>3</v>
      </c>
      <c r="D28" s="56">
        <v>2</v>
      </c>
      <c r="E28" s="56">
        <v>1</v>
      </c>
      <c r="F28" s="56">
        <v>0</v>
      </c>
      <c r="G28" s="57">
        <f t="shared" si="0"/>
        <v>2</v>
      </c>
      <c r="H28" s="60"/>
      <c r="I28" s="59"/>
    </row>
    <row r="29" spans="1:9" x14ac:dyDescent="0.25">
      <c r="A29" s="55">
        <v>46050</v>
      </c>
      <c r="B29" s="56" t="s">
        <v>14</v>
      </c>
      <c r="C29" s="56">
        <v>2</v>
      </c>
      <c r="D29" s="56">
        <v>2</v>
      </c>
      <c r="E29" s="56">
        <v>0</v>
      </c>
      <c r="F29" s="56">
        <v>0</v>
      </c>
      <c r="G29" s="57">
        <f t="shared" si="0"/>
        <v>0</v>
      </c>
      <c r="H29" s="60"/>
      <c r="I29" s="59"/>
    </row>
    <row r="30" spans="1:9" x14ac:dyDescent="0.25">
      <c r="A30" s="55">
        <v>46051</v>
      </c>
      <c r="B30" s="56" t="s">
        <v>14</v>
      </c>
      <c r="C30" s="56">
        <v>2</v>
      </c>
      <c r="D30" s="56">
        <v>2</v>
      </c>
      <c r="E30" s="56">
        <v>0</v>
      </c>
      <c r="F30" s="56">
        <v>0</v>
      </c>
      <c r="G30" s="57">
        <f t="shared" si="0"/>
        <v>0</v>
      </c>
      <c r="H30" s="60"/>
      <c r="I30" s="59"/>
    </row>
    <row r="31" spans="1:9" x14ac:dyDescent="0.25">
      <c r="A31" s="55">
        <v>46052</v>
      </c>
      <c r="B31" s="56" t="s">
        <v>14</v>
      </c>
      <c r="C31" s="56">
        <v>0</v>
      </c>
      <c r="D31" s="56">
        <v>3</v>
      </c>
      <c r="E31" s="56">
        <v>0</v>
      </c>
      <c r="F31" s="56">
        <v>0</v>
      </c>
      <c r="G31" s="57">
        <f t="shared" si="0"/>
        <v>-3</v>
      </c>
      <c r="H31" s="60"/>
      <c r="I31" s="59"/>
    </row>
    <row r="32" spans="1:9" x14ac:dyDescent="0.25">
      <c r="A32" s="55">
        <v>46053</v>
      </c>
      <c r="B32" s="56" t="s">
        <v>14</v>
      </c>
      <c r="C32" s="56">
        <v>1</v>
      </c>
      <c r="D32" s="56">
        <v>2</v>
      </c>
      <c r="E32" s="56">
        <v>0</v>
      </c>
      <c r="F32" s="56">
        <v>0</v>
      </c>
      <c r="G32" s="57">
        <f t="shared" si="0"/>
        <v>-1</v>
      </c>
      <c r="H32" s="60"/>
      <c r="I32" s="59"/>
    </row>
    <row r="33" spans="1:9" x14ac:dyDescent="0.25">
      <c r="A33" s="55">
        <v>46054</v>
      </c>
      <c r="B33" s="56" t="s">
        <v>14</v>
      </c>
      <c r="C33" s="56">
        <v>1</v>
      </c>
      <c r="D33" s="56">
        <v>1</v>
      </c>
      <c r="E33" s="56">
        <v>0</v>
      </c>
      <c r="F33" s="56">
        <v>0</v>
      </c>
      <c r="G33" s="57">
        <f t="shared" si="0"/>
        <v>0</v>
      </c>
      <c r="H33" s="61"/>
      <c r="I33" s="59"/>
    </row>
    <row r="34" spans="1:9" x14ac:dyDescent="0.25">
      <c r="A34" s="55">
        <v>46055</v>
      </c>
      <c r="B34" s="56" t="s">
        <v>14</v>
      </c>
      <c r="C34" s="56">
        <v>0</v>
      </c>
      <c r="D34" s="56">
        <v>2</v>
      </c>
      <c r="E34" s="56">
        <v>0</v>
      </c>
      <c r="F34" s="56">
        <v>0</v>
      </c>
      <c r="G34" s="57">
        <f t="shared" si="0"/>
        <v>-2</v>
      </c>
      <c r="H34" s="58">
        <f>SUM(G34:G40)</f>
        <v>-6</v>
      </c>
      <c r="I34" s="59"/>
    </row>
    <row r="35" spans="1:9" x14ac:dyDescent="0.25">
      <c r="A35" s="55">
        <v>46056</v>
      </c>
      <c r="B35" s="56" t="s">
        <v>14</v>
      </c>
      <c r="C35" s="56">
        <v>2</v>
      </c>
      <c r="D35" s="56">
        <v>0</v>
      </c>
      <c r="E35" s="56">
        <v>0</v>
      </c>
      <c r="F35" s="56">
        <v>0</v>
      </c>
      <c r="G35" s="57">
        <f t="shared" si="0"/>
        <v>2</v>
      </c>
      <c r="H35" s="60"/>
      <c r="I35" s="59"/>
    </row>
    <row r="36" spans="1:9" x14ac:dyDescent="0.25">
      <c r="A36" s="55">
        <v>46057</v>
      </c>
      <c r="B36" s="56" t="s">
        <v>14</v>
      </c>
      <c r="C36" s="56">
        <v>0</v>
      </c>
      <c r="D36" s="56">
        <v>1</v>
      </c>
      <c r="E36" s="56">
        <v>0</v>
      </c>
      <c r="F36" s="56">
        <v>0</v>
      </c>
      <c r="G36" s="57">
        <f t="shared" si="0"/>
        <v>-1</v>
      </c>
      <c r="H36" s="60"/>
      <c r="I36" s="59"/>
    </row>
    <row r="37" spans="1:9" x14ac:dyDescent="0.25">
      <c r="A37" s="55">
        <v>46058</v>
      </c>
      <c r="B37" s="56" t="s">
        <v>14</v>
      </c>
      <c r="C37" s="56">
        <v>1</v>
      </c>
      <c r="D37" s="56">
        <v>1</v>
      </c>
      <c r="E37" s="56">
        <v>0</v>
      </c>
      <c r="F37" s="56">
        <v>0</v>
      </c>
      <c r="G37" s="57">
        <f t="shared" si="0"/>
        <v>0</v>
      </c>
      <c r="H37" s="60"/>
      <c r="I37" s="59"/>
    </row>
    <row r="38" spans="1:9" x14ac:dyDescent="0.25">
      <c r="A38" s="55">
        <v>46059</v>
      </c>
      <c r="B38" s="56" t="s">
        <v>14</v>
      </c>
      <c r="C38" s="56">
        <v>2</v>
      </c>
      <c r="D38" s="56">
        <v>2</v>
      </c>
      <c r="E38" s="56">
        <v>0</v>
      </c>
      <c r="F38" s="56">
        <v>0</v>
      </c>
      <c r="G38" s="57">
        <f t="shared" si="0"/>
        <v>0</v>
      </c>
      <c r="H38" s="60"/>
      <c r="I38" s="59"/>
    </row>
    <row r="39" spans="1:9" x14ac:dyDescent="0.25">
      <c r="A39" s="55">
        <v>46060</v>
      </c>
      <c r="B39" s="56" t="s">
        <v>14</v>
      </c>
      <c r="C39" s="56">
        <v>0</v>
      </c>
      <c r="D39" s="56">
        <v>2</v>
      </c>
      <c r="E39" s="56">
        <v>0</v>
      </c>
      <c r="F39" s="56">
        <v>0</v>
      </c>
      <c r="G39" s="57">
        <f t="shared" si="0"/>
        <v>-2</v>
      </c>
      <c r="H39" s="60"/>
      <c r="I39" s="59"/>
    </row>
    <row r="40" spans="1:9" x14ac:dyDescent="0.25">
      <c r="A40" s="55">
        <v>46061</v>
      </c>
      <c r="B40" s="56" t="s">
        <v>14</v>
      </c>
      <c r="C40" s="56">
        <v>1</v>
      </c>
      <c r="D40" s="56">
        <v>4</v>
      </c>
      <c r="E40" s="56">
        <v>0</v>
      </c>
      <c r="F40" s="56">
        <v>0</v>
      </c>
      <c r="G40" s="57">
        <f t="shared" si="0"/>
        <v>-3</v>
      </c>
      <c r="H40" s="61"/>
      <c r="I40" s="59"/>
    </row>
    <row r="41" spans="1:9" x14ac:dyDescent="0.25">
      <c r="A41" s="55">
        <v>46062</v>
      </c>
      <c r="B41" s="56" t="s">
        <v>14</v>
      </c>
      <c r="C41" s="56">
        <v>1</v>
      </c>
      <c r="D41" s="56">
        <v>2</v>
      </c>
      <c r="E41" s="56">
        <v>0</v>
      </c>
      <c r="F41" s="56">
        <v>0</v>
      </c>
      <c r="G41" s="57">
        <f t="shared" si="0"/>
        <v>-1</v>
      </c>
      <c r="H41" s="58">
        <f>SUM(G41:G47)</f>
        <v>4</v>
      </c>
      <c r="I41" s="59"/>
    </row>
    <row r="42" spans="1:9" x14ac:dyDescent="0.25">
      <c r="A42" s="55">
        <v>46063</v>
      </c>
      <c r="B42" s="56" t="s">
        <v>14</v>
      </c>
      <c r="C42" s="56">
        <v>3</v>
      </c>
      <c r="D42" s="56">
        <v>4</v>
      </c>
      <c r="E42" s="56">
        <v>0</v>
      </c>
      <c r="F42" s="56">
        <v>0</v>
      </c>
      <c r="G42" s="57">
        <f t="shared" si="0"/>
        <v>-1</v>
      </c>
      <c r="H42" s="60"/>
      <c r="I42" s="59"/>
    </row>
    <row r="43" spans="1:9" x14ac:dyDescent="0.25">
      <c r="A43" s="55">
        <v>46064</v>
      </c>
      <c r="B43" s="56" t="s">
        <v>14</v>
      </c>
      <c r="C43" s="56">
        <v>5</v>
      </c>
      <c r="D43" s="56">
        <v>2</v>
      </c>
      <c r="E43" s="56">
        <v>0</v>
      </c>
      <c r="F43" s="56">
        <v>0</v>
      </c>
      <c r="G43" s="57">
        <f t="shared" si="0"/>
        <v>3</v>
      </c>
      <c r="H43" s="60"/>
      <c r="I43" s="59"/>
    </row>
    <row r="44" spans="1:9" x14ac:dyDescent="0.25">
      <c r="A44" s="55">
        <v>46065</v>
      </c>
      <c r="B44" s="56" t="s">
        <v>14</v>
      </c>
      <c r="C44" s="56">
        <v>1</v>
      </c>
      <c r="D44" s="56">
        <v>0</v>
      </c>
      <c r="E44" s="56">
        <v>0</v>
      </c>
      <c r="F44" s="56">
        <v>0</v>
      </c>
      <c r="G44" s="57">
        <f t="shared" si="0"/>
        <v>1</v>
      </c>
      <c r="H44" s="60"/>
      <c r="I44" s="59"/>
    </row>
    <row r="45" spans="1:9" x14ac:dyDescent="0.25">
      <c r="A45" s="55">
        <v>46066</v>
      </c>
      <c r="B45" s="56" t="s">
        <v>14</v>
      </c>
      <c r="C45" s="56">
        <v>0</v>
      </c>
      <c r="D45" s="56">
        <v>1</v>
      </c>
      <c r="E45" s="56">
        <v>0</v>
      </c>
      <c r="F45" s="56">
        <v>0</v>
      </c>
      <c r="G45" s="57">
        <f t="shared" si="0"/>
        <v>-1</v>
      </c>
      <c r="H45" s="60"/>
      <c r="I45" s="59"/>
    </row>
    <row r="46" spans="1:9" x14ac:dyDescent="0.25">
      <c r="A46" s="55">
        <v>46067</v>
      </c>
      <c r="B46" s="56" t="s">
        <v>14</v>
      </c>
      <c r="C46" s="56">
        <v>4</v>
      </c>
      <c r="D46" s="56">
        <v>2</v>
      </c>
      <c r="E46" s="56">
        <v>0</v>
      </c>
      <c r="F46" s="56">
        <v>0</v>
      </c>
      <c r="G46" s="57">
        <f t="shared" si="0"/>
        <v>2</v>
      </c>
      <c r="H46" s="60"/>
      <c r="I46" s="59"/>
    </row>
    <row r="47" spans="1:9" x14ac:dyDescent="0.25">
      <c r="A47" s="55">
        <v>46068</v>
      </c>
      <c r="B47" s="56" t="s">
        <v>14</v>
      </c>
      <c r="C47" s="56">
        <v>1</v>
      </c>
      <c r="D47" s="56">
        <v>0</v>
      </c>
      <c r="E47" s="56">
        <v>0</v>
      </c>
      <c r="F47" s="56">
        <v>0</v>
      </c>
      <c r="G47" s="57">
        <f t="shared" si="0"/>
        <v>1</v>
      </c>
      <c r="H47" s="61"/>
      <c r="I47" s="59"/>
    </row>
    <row r="48" spans="1:9" x14ac:dyDescent="0.25">
      <c r="A48" s="55">
        <v>46069</v>
      </c>
      <c r="B48" s="56" t="s">
        <v>14</v>
      </c>
      <c r="C48" s="56">
        <v>12</v>
      </c>
      <c r="D48" s="56">
        <v>2</v>
      </c>
      <c r="E48" s="56">
        <v>0</v>
      </c>
      <c r="F48" s="56">
        <v>0</v>
      </c>
      <c r="G48" s="57">
        <f t="shared" si="0"/>
        <v>10</v>
      </c>
      <c r="H48" s="58">
        <f>SUM(G48:G54)</f>
        <v>26</v>
      </c>
      <c r="I48" s="59"/>
    </row>
    <row r="49" spans="1:9" x14ac:dyDescent="0.25">
      <c r="A49" s="55">
        <v>46070</v>
      </c>
      <c r="B49" s="56" t="s">
        <v>14</v>
      </c>
      <c r="C49" s="56">
        <v>3</v>
      </c>
      <c r="D49" s="56">
        <v>3</v>
      </c>
      <c r="E49" s="56">
        <v>0</v>
      </c>
      <c r="F49" s="56">
        <v>0</v>
      </c>
      <c r="G49" s="57">
        <f t="shared" si="0"/>
        <v>0</v>
      </c>
      <c r="H49" s="60"/>
      <c r="I49" s="59"/>
    </row>
    <row r="50" spans="1:9" x14ac:dyDescent="0.25">
      <c r="A50" s="55">
        <v>46071</v>
      </c>
      <c r="B50" s="56" t="s">
        <v>14</v>
      </c>
      <c r="C50" s="56">
        <v>7</v>
      </c>
      <c r="D50" s="56">
        <v>0</v>
      </c>
      <c r="E50" s="56">
        <v>0</v>
      </c>
      <c r="F50" s="56">
        <v>0</v>
      </c>
      <c r="G50" s="57">
        <f t="shared" si="0"/>
        <v>7</v>
      </c>
      <c r="H50" s="60"/>
      <c r="I50" s="59"/>
    </row>
    <row r="51" spans="1:9" x14ac:dyDescent="0.25">
      <c r="A51" s="55">
        <v>46072</v>
      </c>
      <c r="B51" s="56" t="s">
        <v>14</v>
      </c>
      <c r="C51" s="56">
        <v>5</v>
      </c>
      <c r="D51" s="56">
        <v>1</v>
      </c>
      <c r="E51" s="56">
        <v>0</v>
      </c>
      <c r="F51" s="56">
        <v>0</v>
      </c>
      <c r="G51" s="57">
        <f t="shared" si="0"/>
        <v>4</v>
      </c>
      <c r="H51" s="60"/>
      <c r="I51" s="59"/>
    </row>
    <row r="52" spans="1:9" x14ac:dyDescent="0.25">
      <c r="A52" s="55">
        <v>46073</v>
      </c>
      <c r="B52" s="56" t="s">
        <v>14</v>
      </c>
      <c r="C52" s="56">
        <v>4</v>
      </c>
      <c r="D52" s="56">
        <v>3</v>
      </c>
      <c r="E52" s="56">
        <v>0</v>
      </c>
      <c r="F52" s="56">
        <v>0</v>
      </c>
      <c r="G52" s="57">
        <f t="shared" si="0"/>
        <v>1</v>
      </c>
      <c r="H52" s="60"/>
      <c r="I52" s="59"/>
    </row>
    <row r="53" spans="1:9" x14ac:dyDescent="0.25">
      <c r="A53" s="55">
        <v>46074</v>
      </c>
      <c r="B53" s="56" t="s">
        <v>14</v>
      </c>
      <c r="C53" s="56">
        <v>4</v>
      </c>
      <c r="D53" s="56">
        <v>1</v>
      </c>
      <c r="E53" s="56">
        <v>0</v>
      </c>
      <c r="F53" s="56">
        <v>0</v>
      </c>
      <c r="G53" s="57">
        <f t="shared" si="0"/>
        <v>3</v>
      </c>
      <c r="H53" s="60"/>
      <c r="I53" s="59"/>
    </row>
    <row r="54" spans="1:9" x14ac:dyDescent="0.25">
      <c r="A54" s="55">
        <v>46075</v>
      </c>
      <c r="B54" s="56" t="s">
        <v>14</v>
      </c>
      <c r="C54" s="56">
        <v>3</v>
      </c>
      <c r="D54" s="56">
        <v>2</v>
      </c>
      <c r="E54" s="56">
        <v>0</v>
      </c>
      <c r="F54" s="56">
        <v>0</v>
      </c>
      <c r="G54" s="57">
        <f t="shared" si="0"/>
        <v>1</v>
      </c>
      <c r="H54" s="61"/>
      <c r="I54" s="59"/>
    </row>
    <row r="55" spans="1:9" x14ac:dyDescent="0.25">
      <c r="A55" s="55">
        <v>46076</v>
      </c>
      <c r="B55" s="56" t="s">
        <v>14</v>
      </c>
      <c r="C55" s="56">
        <v>5</v>
      </c>
      <c r="D55" s="56">
        <v>0</v>
      </c>
      <c r="E55" s="56">
        <v>0</v>
      </c>
      <c r="F55" s="56">
        <v>0</v>
      </c>
      <c r="G55" s="57">
        <f t="shared" si="0"/>
        <v>5</v>
      </c>
      <c r="H55" s="58">
        <f>SUM(G55:G61)</f>
        <v>3</v>
      </c>
      <c r="I55" s="59"/>
    </row>
    <row r="56" spans="1:9" x14ac:dyDescent="0.25">
      <c r="A56" s="55">
        <v>46077</v>
      </c>
      <c r="B56" s="56" t="s">
        <v>14</v>
      </c>
      <c r="C56" s="56">
        <v>1</v>
      </c>
      <c r="D56" s="56">
        <v>2</v>
      </c>
      <c r="E56" s="56">
        <v>0</v>
      </c>
      <c r="F56" s="56">
        <v>0</v>
      </c>
      <c r="G56" s="57">
        <f t="shared" si="0"/>
        <v>-1</v>
      </c>
      <c r="H56" s="60"/>
      <c r="I56" s="59"/>
    </row>
    <row r="57" spans="1:9" x14ac:dyDescent="0.25">
      <c r="A57" s="55">
        <v>46078</v>
      </c>
      <c r="B57" s="56" t="s">
        <v>14</v>
      </c>
      <c r="C57" s="56">
        <v>3</v>
      </c>
      <c r="D57" s="56">
        <v>5</v>
      </c>
      <c r="E57" s="56">
        <v>0</v>
      </c>
      <c r="F57" s="56">
        <v>0</v>
      </c>
      <c r="G57" s="57">
        <f t="shared" si="0"/>
        <v>-2</v>
      </c>
      <c r="H57" s="60"/>
      <c r="I57" s="59"/>
    </row>
    <row r="58" spans="1:9" x14ac:dyDescent="0.25">
      <c r="A58" s="55">
        <v>46079</v>
      </c>
      <c r="B58" s="56" t="s">
        <v>14</v>
      </c>
      <c r="C58" s="56">
        <v>1</v>
      </c>
      <c r="D58" s="56">
        <v>3</v>
      </c>
      <c r="E58" s="56">
        <v>0</v>
      </c>
      <c r="F58" s="56">
        <v>0</v>
      </c>
      <c r="G58" s="57">
        <f t="shared" si="0"/>
        <v>-2</v>
      </c>
      <c r="H58" s="60"/>
      <c r="I58" s="59"/>
    </row>
    <row r="59" spans="1:9" x14ac:dyDescent="0.25">
      <c r="A59" s="55">
        <v>46080</v>
      </c>
      <c r="B59" s="56" t="s">
        <v>14</v>
      </c>
      <c r="C59" s="56">
        <v>4</v>
      </c>
      <c r="D59" s="56">
        <v>2</v>
      </c>
      <c r="E59" s="56">
        <v>0</v>
      </c>
      <c r="F59" s="56">
        <v>0</v>
      </c>
      <c r="G59" s="57">
        <f t="shared" si="0"/>
        <v>2</v>
      </c>
      <c r="H59" s="60"/>
      <c r="I59" s="59"/>
    </row>
    <row r="60" spans="1:9" x14ac:dyDescent="0.25">
      <c r="A60" s="55">
        <v>46081</v>
      </c>
      <c r="B60" s="56" t="s">
        <v>14</v>
      </c>
      <c r="C60" s="56">
        <v>2</v>
      </c>
      <c r="D60" s="56">
        <v>1</v>
      </c>
      <c r="E60" s="56">
        <v>0</v>
      </c>
      <c r="F60" s="56">
        <v>0</v>
      </c>
      <c r="G60" s="57">
        <f t="shared" si="0"/>
        <v>1</v>
      </c>
      <c r="H60" s="60"/>
      <c r="I60" s="59"/>
    </row>
    <row r="61" spans="1:9" x14ac:dyDescent="0.25">
      <c r="A61" s="55">
        <v>46082</v>
      </c>
      <c r="B61" s="56" t="s">
        <v>14</v>
      </c>
      <c r="C61" s="56">
        <v>2</v>
      </c>
      <c r="D61" s="56">
        <v>2</v>
      </c>
      <c r="E61" s="56">
        <v>0</v>
      </c>
      <c r="F61" s="56">
        <v>0</v>
      </c>
      <c r="G61" s="57">
        <f t="shared" si="0"/>
        <v>0</v>
      </c>
      <c r="H61" s="61"/>
      <c r="I61" s="59">
        <f>SUM(G61:G91)</f>
        <v>70</v>
      </c>
    </row>
    <row r="62" spans="1:9" x14ac:dyDescent="0.25">
      <c r="A62" s="55">
        <v>46083</v>
      </c>
      <c r="B62" s="56" t="s">
        <v>14</v>
      </c>
      <c r="C62" s="56">
        <v>5</v>
      </c>
      <c r="D62" s="56">
        <v>2</v>
      </c>
      <c r="E62" s="56">
        <v>0</v>
      </c>
      <c r="F62" s="56">
        <v>0</v>
      </c>
      <c r="G62" s="57">
        <f t="shared" si="0"/>
        <v>3</v>
      </c>
      <c r="H62" s="58">
        <f>SUM(G62:G68)</f>
        <v>7</v>
      </c>
      <c r="I62" s="59"/>
    </row>
    <row r="63" spans="1:9" x14ac:dyDescent="0.25">
      <c r="A63" s="55">
        <v>46084</v>
      </c>
      <c r="B63" s="56" t="s">
        <v>14</v>
      </c>
      <c r="C63" s="56">
        <v>3</v>
      </c>
      <c r="D63" s="56">
        <v>2</v>
      </c>
      <c r="E63" s="56">
        <v>0</v>
      </c>
      <c r="F63" s="56">
        <v>0</v>
      </c>
      <c r="G63" s="57">
        <f t="shared" si="0"/>
        <v>1</v>
      </c>
      <c r="H63" s="60"/>
      <c r="I63" s="59"/>
    </row>
    <row r="64" spans="1:9" x14ac:dyDescent="0.25">
      <c r="A64" s="55">
        <v>46085</v>
      </c>
      <c r="B64" s="56" t="s">
        <v>14</v>
      </c>
      <c r="C64" s="56">
        <v>3</v>
      </c>
      <c r="D64" s="56">
        <v>2</v>
      </c>
      <c r="E64" s="56">
        <v>0</v>
      </c>
      <c r="F64" s="56">
        <v>0</v>
      </c>
      <c r="G64" s="57">
        <f t="shared" si="0"/>
        <v>1</v>
      </c>
      <c r="H64" s="60"/>
      <c r="I64" s="59"/>
    </row>
    <row r="65" spans="1:9" x14ac:dyDescent="0.25">
      <c r="A65" s="55">
        <v>46086</v>
      </c>
      <c r="B65" s="56" t="s">
        <v>14</v>
      </c>
      <c r="C65" s="56">
        <v>2</v>
      </c>
      <c r="D65" s="56">
        <v>2</v>
      </c>
      <c r="E65" s="56">
        <v>1</v>
      </c>
      <c r="F65" s="56">
        <v>0</v>
      </c>
      <c r="G65" s="57">
        <f t="shared" si="0"/>
        <v>1</v>
      </c>
      <c r="H65" s="60"/>
      <c r="I65" s="59"/>
    </row>
    <row r="66" spans="1:9" x14ac:dyDescent="0.25">
      <c r="A66" s="55">
        <v>46087</v>
      </c>
      <c r="B66" s="56" t="s">
        <v>14</v>
      </c>
      <c r="C66" s="56">
        <v>1</v>
      </c>
      <c r="D66" s="56">
        <v>2</v>
      </c>
      <c r="E66" s="56">
        <v>0</v>
      </c>
      <c r="F66" s="56">
        <v>0</v>
      </c>
      <c r="G66" s="57">
        <f t="shared" si="0"/>
        <v>-1</v>
      </c>
      <c r="H66" s="60"/>
      <c r="I66" s="59"/>
    </row>
    <row r="67" spans="1:9" x14ac:dyDescent="0.25">
      <c r="A67" s="55">
        <v>46088</v>
      </c>
      <c r="B67" s="56" t="s">
        <v>14</v>
      </c>
      <c r="C67" s="56">
        <v>5</v>
      </c>
      <c r="D67" s="56">
        <v>3</v>
      </c>
      <c r="E67" s="56">
        <v>0</v>
      </c>
      <c r="F67" s="56">
        <v>0</v>
      </c>
      <c r="G67" s="57">
        <f t="shared" ref="G67:G130" si="1">SUM(F67,E67,C67-D67)</f>
        <v>2</v>
      </c>
      <c r="H67" s="60"/>
      <c r="I67" s="59"/>
    </row>
    <row r="68" spans="1:9" x14ac:dyDescent="0.25">
      <c r="A68" s="55">
        <v>46089</v>
      </c>
      <c r="B68" s="56" t="s">
        <v>14</v>
      </c>
      <c r="C68" s="56">
        <v>2</v>
      </c>
      <c r="D68" s="56">
        <v>2</v>
      </c>
      <c r="E68" s="56">
        <v>0</v>
      </c>
      <c r="F68" s="56">
        <v>0</v>
      </c>
      <c r="G68" s="57">
        <f t="shared" si="1"/>
        <v>0</v>
      </c>
      <c r="H68" s="61"/>
      <c r="I68" s="59"/>
    </row>
    <row r="69" spans="1:9" x14ac:dyDescent="0.25">
      <c r="A69" s="55">
        <v>46090</v>
      </c>
      <c r="B69" s="56" t="s">
        <v>14</v>
      </c>
      <c r="C69" s="56">
        <v>1</v>
      </c>
      <c r="D69" s="56">
        <v>0</v>
      </c>
      <c r="E69" s="56">
        <v>0</v>
      </c>
      <c r="F69" s="56">
        <v>0</v>
      </c>
      <c r="G69" s="57">
        <f t="shared" si="1"/>
        <v>1</v>
      </c>
      <c r="H69" s="58">
        <f>SUM(G69:G75)</f>
        <v>11</v>
      </c>
      <c r="I69" s="59"/>
    </row>
    <row r="70" spans="1:9" x14ac:dyDescent="0.25">
      <c r="A70" s="55">
        <v>46091</v>
      </c>
      <c r="B70" s="56" t="s">
        <v>14</v>
      </c>
      <c r="C70" s="56">
        <v>5</v>
      </c>
      <c r="D70" s="56">
        <v>0</v>
      </c>
      <c r="E70" s="56">
        <v>0</v>
      </c>
      <c r="F70" s="56">
        <v>0</v>
      </c>
      <c r="G70" s="57">
        <f t="shared" si="1"/>
        <v>5</v>
      </c>
      <c r="H70" s="60"/>
      <c r="I70" s="59"/>
    </row>
    <row r="71" spans="1:9" x14ac:dyDescent="0.25">
      <c r="A71" s="55">
        <v>46092</v>
      </c>
      <c r="B71" s="56" t="s">
        <v>14</v>
      </c>
      <c r="C71" s="56">
        <v>2</v>
      </c>
      <c r="D71" s="56">
        <v>1</v>
      </c>
      <c r="E71" s="56">
        <v>0</v>
      </c>
      <c r="F71" s="56">
        <v>0</v>
      </c>
      <c r="G71" s="57">
        <f t="shared" si="1"/>
        <v>1</v>
      </c>
      <c r="H71" s="60"/>
      <c r="I71" s="59"/>
    </row>
    <row r="72" spans="1:9" x14ac:dyDescent="0.25">
      <c r="A72" s="55">
        <v>46093</v>
      </c>
      <c r="B72" s="56" t="s">
        <v>14</v>
      </c>
      <c r="C72" s="56">
        <v>3</v>
      </c>
      <c r="D72" s="56">
        <v>2</v>
      </c>
      <c r="E72" s="56">
        <v>0</v>
      </c>
      <c r="F72" s="56">
        <v>0</v>
      </c>
      <c r="G72" s="57">
        <f t="shared" si="1"/>
        <v>1</v>
      </c>
      <c r="H72" s="60"/>
      <c r="I72" s="59"/>
    </row>
    <row r="73" spans="1:9" x14ac:dyDescent="0.25">
      <c r="A73" s="55">
        <v>46094</v>
      </c>
      <c r="B73" s="56" t="s">
        <v>14</v>
      </c>
      <c r="C73" s="56">
        <v>3</v>
      </c>
      <c r="D73" s="56">
        <v>1</v>
      </c>
      <c r="E73" s="56">
        <v>0</v>
      </c>
      <c r="F73" s="56">
        <v>0</v>
      </c>
      <c r="G73" s="57">
        <f t="shared" si="1"/>
        <v>2</v>
      </c>
      <c r="H73" s="60"/>
      <c r="I73" s="59"/>
    </row>
    <row r="74" spans="1:9" x14ac:dyDescent="0.25">
      <c r="A74" s="55">
        <v>46095</v>
      </c>
      <c r="B74" s="56" t="s">
        <v>14</v>
      </c>
      <c r="C74" s="56">
        <v>3</v>
      </c>
      <c r="D74" s="56">
        <v>2</v>
      </c>
      <c r="E74" s="56">
        <v>0</v>
      </c>
      <c r="F74" s="56">
        <v>0</v>
      </c>
      <c r="G74" s="57">
        <f t="shared" si="1"/>
        <v>1</v>
      </c>
      <c r="H74" s="60"/>
      <c r="I74" s="59"/>
    </row>
    <row r="75" spans="1:9" x14ac:dyDescent="0.25">
      <c r="A75" s="55">
        <v>46096</v>
      </c>
      <c r="B75" s="56" t="s">
        <v>14</v>
      </c>
      <c r="C75" s="56">
        <v>3</v>
      </c>
      <c r="D75" s="56">
        <v>3</v>
      </c>
      <c r="E75" s="56">
        <v>0</v>
      </c>
      <c r="F75" s="56">
        <v>0</v>
      </c>
      <c r="G75" s="57">
        <f t="shared" si="1"/>
        <v>0</v>
      </c>
      <c r="H75" s="61"/>
      <c r="I75" s="59"/>
    </row>
    <row r="76" spans="1:9" x14ac:dyDescent="0.25">
      <c r="A76" s="55">
        <v>46097</v>
      </c>
      <c r="B76" s="56" t="s">
        <v>14</v>
      </c>
      <c r="C76" s="56">
        <v>3</v>
      </c>
      <c r="D76" s="56">
        <v>3</v>
      </c>
      <c r="E76" s="56">
        <v>0</v>
      </c>
      <c r="F76" s="56">
        <v>0</v>
      </c>
      <c r="G76" s="57">
        <f t="shared" si="1"/>
        <v>0</v>
      </c>
      <c r="H76" s="58">
        <f>SUM(G76:G82)</f>
        <v>22</v>
      </c>
      <c r="I76" s="59"/>
    </row>
    <row r="77" spans="1:9" x14ac:dyDescent="0.25">
      <c r="A77" s="55">
        <v>46098</v>
      </c>
      <c r="B77" s="56" t="s">
        <v>14</v>
      </c>
      <c r="C77" s="56">
        <v>3</v>
      </c>
      <c r="D77" s="56">
        <v>1</v>
      </c>
      <c r="E77" s="56">
        <v>0</v>
      </c>
      <c r="F77" s="56">
        <v>0</v>
      </c>
      <c r="G77" s="57">
        <f t="shared" si="1"/>
        <v>2</v>
      </c>
      <c r="H77" s="60"/>
      <c r="I77" s="59"/>
    </row>
    <row r="78" spans="1:9" x14ac:dyDescent="0.25">
      <c r="A78" s="55">
        <v>46099</v>
      </c>
      <c r="B78" s="56" t="s">
        <v>14</v>
      </c>
      <c r="C78" s="56">
        <v>4</v>
      </c>
      <c r="D78" s="56">
        <v>0</v>
      </c>
      <c r="E78" s="56">
        <v>0</v>
      </c>
      <c r="F78" s="56">
        <v>0</v>
      </c>
      <c r="G78" s="57">
        <f t="shared" si="1"/>
        <v>4</v>
      </c>
      <c r="H78" s="60"/>
      <c r="I78" s="59"/>
    </row>
    <row r="79" spans="1:9" x14ac:dyDescent="0.25">
      <c r="A79" s="55">
        <v>46100</v>
      </c>
      <c r="B79" s="56" t="s">
        <v>14</v>
      </c>
      <c r="C79" s="56">
        <v>3</v>
      </c>
      <c r="D79" s="56">
        <v>1</v>
      </c>
      <c r="E79" s="56">
        <v>0</v>
      </c>
      <c r="F79" s="56">
        <v>0</v>
      </c>
      <c r="G79" s="57">
        <f t="shared" si="1"/>
        <v>2</v>
      </c>
      <c r="H79" s="60"/>
      <c r="I79" s="59"/>
    </row>
    <row r="80" spans="1:9" x14ac:dyDescent="0.25">
      <c r="A80" s="55">
        <v>46101</v>
      </c>
      <c r="B80" s="56" t="s">
        <v>14</v>
      </c>
      <c r="C80" s="56">
        <v>8</v>
      </c>
      <c r="D80" s="56">
        <v>0</v>
      </c>
      <c r="E80" s="56">
        <v>0</v>
      </c>
      <c r="F80" s="56">
        <v>0</v>
      </c>
      <c r="G80" s="57">
        <f t="shared" si="1"/>
        <v>8</v>
      </c>
      <c r="H80" s="60"/>
      <c r="I80" s="59"/>
    </row>
    <row r="81" spans="1:9" x14ac:dyDescent="0.25">
      <c r="A81" s="55">
        <v>46102</v>
      </c>
      <c r="B81" s="56" t="s">
        <v>14</v>
      </c>
      <c r="C81" s="56">
        <v>5</v>
      </c>
      <c r="D81" s="56">
        <v>0</v>
      </c>
      <c r="E81" s="56">
        <v>0</v>
      </c>
      <c r="F81" s="56">
        <v>0</v>
      </c>
      <c r="G81" s="57">
        <f t="shared" si="1"/>
        <v>5</v>
      </c>
      <c r="H81" s="60"/>
      <c r="I81" s="59"/>
    </row>
    <row r="82" spans="1:9" x14ac:dyDescent="0.25">
      <c r="A82" s="55">
        <v>46103</v>
      </c>
      <c r="B82" s="56" t="s">
        <v>14</v>
      </c>
      <c r="C82" s="56">
        <v>1</v>
      </c>
      <c r="D82" s="56">
        <v>0</v>
      </c>
      <c r="E82" s="56">
        <v>0</v>
      </c>
      <c r="F82" s="56">
        <v>0</v>
      </c>
      <c r="G82" s="57">
        <f t="shared" si="1"/>
        <v>1</v>
      </c>
      <c r="H82" s="61"/>
      <c r="I82" s="59"/>
    </row>
    <row r="83" spans="1:9" x14ac:dyDescent="0.25">
      <c r="A83" s="55">
        <v>46104</v>
      </c>
      <c r="B83" s="56" t="s">
        <v>14</v>
      </c>
      <c r="C83" s="56">
        <v>11</v>
      </c>
      <c r="D83" s="56">
        <v>3</v>
      </c>
      <c r="E83" s="56">
        <v>0</v>
      </c>
      <c r="F83" s="56">
        <v>0</v>
      </c>
      <c r="G83" s="57">
        <f t="shared" si="1"/>
        <v>8</v>
      </c>
      <c r="H83" s="58">
        <f>SUM(G83:G89)</f>
        <v>27</v>
      </c>
      <c r="I83" s="59"/>
    </row>
    <row r="84" spans="1:9" x14ac:dyDescent="0.25">
      <c r="A84" s="55">
        <v>46105</v>
      </c>
      <c r="B84" s="56" t="s">
        <v>14</v>
      </c>
      <c r="C84" s="56">
        <v>5</v>
      </c>
      <c r="D84" s="56">
        <v>3</v>
      </c>
      <c r="E84" s="56">
        <v>0</v>
      </c>
      <c r="F84" s="56">
        <v>0</v>
      </c>
      <c r="G84" s="57">
        <f t="shared" si="1"/>
        <v>2</v>
      </c>
      <c r="H84" s="60"/>
      <c r="I84" s="59"/>
    </row>
    <row r="85" spans="1:9" x14ac:dyDescent="0.25">
      <c r="A85" s="55">
        <v>46106</v>
      </c>
      <c r="B85" s="56" t="s">
        <v>14</v>
      </c>
      <c r="C85" s="56">
        <v>3</v>
      </c>
      <c r="D85" s="56">
        <v>1</v>
      </c>
      <c r="E85" s="56">
        <v>0</v>
      </c>
      <c r="F85" s="56">
        <v>0</v>
      </c>
      <c r="G85" s="57">
        <f t="shared" si="1"/>
        <v>2</v>
      </c>
      <c r="H85" s="60"/>
      <c r="I85" s="59"/>
    </row>
    <row r="86" spans="1:9" x14ac:dyDescent="0.25">
      <c r="A86" s="55">
        <v>46107</v>
      </c>
      <c r="B86" s="56" t="s">
        <v>14</v>
      </c>
      <c r="C86" s="56">
        <v>3</v>
      </c>
      <c r="D86" s="56">
        <v>2</v>
      </c>
      <c r="E86" s="56">
        <v>0</v>
      </c>
      <c r="F86" s="56">
        <v>0</v>
      </c>
      <c r="G86" s="57">
        <f t="shared" si="1"/>
        <v>1</v>
      </c>
      <c r="H86" s="60"/>
      <c r="I86" s="59"/>
    </row>
    <row r="87" spans="1:9" x14ac:dyDescent="0.25">
      <c r="A87" s="55">
        <v>46108</v>
      </c>
      <c r="B87" s="56" t="s">
        <v>14</v>
      </c>
      <c r="C87" s="56">
        <v>4</v>
      </c>
      <c r="D87" s="56">
        <v>2</v>
      </c>
      <c r="E87" s="56">
        <v>0</v>
      </c>
      <c r="F87" s="56">
        <v>0</v>
      </c>
      <c r="G87" s="57">
        <f t="shared" si="1"/>
        <v>2</v>
      </c>
      <c r="H87" s="60"/>
      <c r="I87" s="59"/>
    </row>
    <row r="88" spans="1:9" x14ac:dyDescent="0.25">
      <c r="A88" s="55">
        <v>46109</v>
      </c>
      <c r="B88" s="56" t="s">
        <v>14</v>
      </c>
      <c r="C88" s="56">
        <v>8</v>
      </c>
      <c r="D88" s="56">
        <v>0</v>
      </c>
      <c r="E88" s="56">
        <v>0</v>
      </c>
      <c r="F88" s="56">
        <v>0</v>
      </c>
      <c r="G88" s="57">
        <f t="shared" si="1"/>
        <v>8</v>
      </c>
      <c r="H88" s="60"/>
      <c r="I88" s="59"/>
    </row>
    <row r="89" spans="1:9" x14ac:dyDescent="0.25">
      <c r="A89" s="55">
        <v>46110</v>
      </c>
      <c r="B89" s="56" t="s">
        <v>14</v>
      </c>
      <c r="C89" s="56">
        <v>6</v>
      </c>
      <c r="D89" s="56">
        <v>2</v>
      </c>
      <c r="E89" s="56">
        <v>0</v>
      </c>
      <c r="F89" s="56">
        <v>0</v>
      </c>
      <c r="G89" s="57">
        <f t="shared" si="1"/>
        <v>4</v>
      </c>
      <c r="H89" s="61"/>
      <c r="I89" s="59"/>
    </row>
    <row r="90" spans="1:9" x14ac:dyDescent="0.25">
      <c r="A90" s="55">
        <v>46111</v>
      </c>
      <c r="B90" s="56" t="s">
        <v>14</v>
      </c>
      <c r="C90" s="56">
        <v>5</v>
      </c>
      <c r="D90" s="56">
        <v>3</v>
      </c>
      <c r="E90" s="56">
        <v>0</v>
      </c>
      <c r="F90" s="56">
        <v>0</v>
      </c>
      <c r="G90" s="57">
        <f t="shared" si="1"/>
        <v>2</v>
      </c>
      <c r="H90" s="58">
        <f>SUM(G90:G96)</f>
        <v>249</v>
      </c>
      <c r="I90" s="59"/>
    </row>
    <row r="91" spans="1:9" x14ac:dyDescent="0.25">
      <c r="A91" s="55">
        <v>46112</v>
      </c>
      <c r="B91" s="56" t="s">
        <v>14</v>
      </c>
      <c r="C91" s="56">
        <v>1</v>
      </c>
      <c r="D91" s="56">
        <v>0</v>
      </c>
      <c r="E91" s="56">
        <v>0</v>
      </c>
      <c r="F91" s="56">
        <v>0</v>
      </c>
      <c r="G91" s="57">
        <f t="shared" si="1"/>
        <v>1</v>
      </c>
      <c r="H91" s="60"/>
      <c r="I91" s="59"/>
    </row>
    <row r="92" spans="1:9" x14ac:dyDescent="0.25">
      <c r="A92" s="55">
        <v>46113</v>
      </c>
      <c r="B92" s="56" t="s">
        <v>14</v>
      </c>
      <c r="C92" s="56">
        <v>5</v>
      </c>
      <c r="D92" s="56">
        <v>0</v>
      </c>
      <c r="E92" s="56">
        <v>0</v>
      </c>
      <c r="F92" s="56">
        <v>0</v>
      </c>
      <c r="G92" s="57">
        <f t="shared" si="1"/>
        <v>5</v>
      </c>
      <c r="H92" s="60"/>
      <c r="I92" s="59"/>
    </row>
    <row r="93" spans="1:9" x14ac:dyDescent="0.25">
      <c r="A93" s="55">
        <v>46114</v>
      </c>
      <c r="B93" s="56" t="s">
        <v>14</v>
      </c>
      <c r="C93" s="56">
        <v>111</v>
      </c>
      <c r="D93" s="56">
        <v>1</v>
      </c>
      <c r="E93" s="56">
        <v>0</v>
      </c>
      <c r="F93" s="56">
        <v>0</v>
      </c>
      <c r="G93" s="57">
        <f t="shared" si="1"/>
        <v>110</v>
      </c>
      <c r="H93" s="60"/>
      <c r="I93" s="59"/>
    </row>
    <row r="94" spans="1:9" x14ac:dyDescent="0.25">
      <c r="A94" s="55">
        <v>46115</v>
      </c>
      <c r="B94" s="56" t="s">
        <v>14</v>
      </c>
      <c r="C94" s="56">
        <v>68</v>
      </c>
      <c r="D94" s="56">
        <v>3</v>
      </c>
      <c r="E94" s="56">
        <v>0</v>
      </c>
      <c r="F94" s="56">
        <v>0</v>
      </c>
      <c r="G94" s="57">
        <f t="shared" si="1"/>
        <v>65</v>
      </c>
      <c r="H94" s="60"/>
      <c r="I94" s="59"/>
    </row>
    <row r="95" spans="1:9" x14ac:dyDescent="0.25">
      <c r="A95" s="55">
        <v>46116</v>
      </c>
      <c r="B95" s="56" t="s">
        <v>14</v>
      </c>
      <c r="C95" s="56">
        <v>33</v>
      </c>
      <c r="D95" s="56">
        <v>1</v>
      </c>
      <c r="E95" s="56">
        <v>0</v>
      </c>
      <c r="F95" s="56">
        <v>0</v>
      </c>
      <c r="G95" s="57">
        <f t="shared" si="1"/>
        <v>32</v>
      </c>
      <c r="H95" s="60"/>
      <c r="I95" s="59"/>
    </row>
    <row r="96" spans="1:9" x14ac:dyDescent="0.25">
      <c r="A96" s="55">
        <v>46117</v>
      </c>
      <c r="B96" s="56" t="s">
        <v>14</v>
      </c>
      <c r="C96" s="56">
        <v>37</v>
      </c>
      <c r="D96" s="56">
        <v>3</v>
      </c>
      <c r="E96" s="56">
        <v>0</v>
      </c>
      <c r="F96" s="56">
        <v>0</v>
      </c>
      <c r="G96" s="57">
        <f t="shared" si="1"/>
        <v>34</v>
      </c>
      <c r="H96" s="61"/>
      <c r="I96" s="59"/>
    </row>
    <row r="97" spans="1:9" x14ac:dyDescent="0.25">
      <c r="A97" s="55">
        <v>46118</v>
      </c>
      <c r="B97" s="56" t="s">
        <v>14</v>
      </c>
      <c r="C97" s="56">
        <v>41</v>
      </c>
      <c r="D97" s="56">
        <v>2</v>
      </c>
      <c r="E97" s="56">
        <v>0</v>
      </c>
      <c r="F97" s="56">
        <v>0</v>
      </c>
      <c r="G97" s="57">
        <f t="shared" si="1"/>
        <v>39</v>
      </c>
      <c r="H97" s="58">
        <f>SUM(G97:G103)</f>
        <v>363</v>
      </c>
      <c r="I97" s="59"/>
    </row>
    <row r="98" spans="1:9" x14ac:dyDescent="0.25">
      <c r="A98" s="55">
        <v>46119</v>
      </c>
      <c r="B98" s="56" t="s">
        <v>14</v>
      </c>
      <c r="C98" s="56">
        <v>45</v>
      </c>
      <c r="D98" s="56">
        <v>0</v>
      </c>
      <c r="E98" s="56">
        <v>0</v>
      </c>
      <c r="F98" s="56">
        <v>0</v>
      </c>
      <c r="G98" s="57">
        <f t="shared" si="1"/>
        <v>45</v>
      </c>
      <c r="H98" s="60"/>
      <c r="I98" s="59"/>
    </row>
    <row r="99" spans="1:9" x14ac:dyDescent="0.25">
      <c r="A99" s="55">
        <v>46120</v>
      </c>
      <c r="B99" s="56" t="s">
        <v>14</v>
      </c>
      <c r="C99" s="56">
        <v>15</v>
      </c>
      <c r="D99" s="56">
        <v>4</v>
      </c>
      <c r="E99" s="56">
        <v>0</v>
      </c>
      <c r="F99" s="56">
        <v>0</v>
      </c>
      <c r="G99" s="57">
        <f t="shared" si="1"/>
        <v>11</v>
      </c>
      <c r="H99" s="60"/>
      <c r="I99" s="59"/>
    </row>
    <row r="100" spans="1:9" x14ac:dyDescent="0.25">
      <c r="A100" s="55">
        <v>46121</v>
      </c>
      <c r="B100" s="56" t="s">
        <v>14</v>
      </c>
      <c r="C100" s="56">
        <v>107</v>
      </c>
      <c r="D100" s="56">
        <v>4</v>
      </c>
      <c r="E100" s="56">
        <v>0</v>
      </c>
      <c r="F100" s="56">
        <v>0</v>
      </c>
      <c r="G100" s="57">
        <f t="shared" si="1"/>
        <v>103</v>
      </c>
      <c r="H100" s="60"/>
      <c r="I100" s="59"/>
    </row>
    <row r="101" spans="1:9" x14ac:dyDescent="0.25">
      <c r="A101" s="55">
        <v>46122</v>
      </c>
      <c r="B101" s="56" t="s">
        <v>14</v>
      </c>
      <c r="C101" s="56">
        <v>68</v>
      </c>
      <c r="D101" s="56">
        <v>2</v>
      </c>
      <c r="E101" s="56">
        <v>0</v>
      </c>
      <c r="F101" s="56">
        <v>0</v>
      </c>
      <c r="G101" s="57">
        <f t="shared" si="1"/>
        <v>66</v>
      </c>
      <c r="H101" s="60"/>
      <c r="I101" s="59"/>
    </row>
    <row r="102" spans="1:9" x14ac:dyDescent="0.25">
      <c r="A102" s="55">
        <v>46123</v>
      </c>
      <c r="B102" s="56" t="s">
        <v>14</v>
      </c>
      <c r="C102" s="56">
        <v>60</v>
      </c>
      <c r="D102" s="56">
        <v>3</v>
      </c>
      <c r="E102" s="56">
        <v>0</v>
      </c>
      <c r="F102" s="56">
        <v>0</v>
      </c>
      <c r="G102" s="57">
        <f t="shared" si="1"/>
        <v>57</v>
      </c>
      <c r="H102" s="60"/>
      <c r="I102" s="59"/>
    </row>
    <row r="103" spans="1:9" x14ac:dyDescent="0.25">
      <c r="A103" s="55">
        <v>46124</v>
      </c>
      <c r="B103" s="56" t="s">
        <v>14</v>
      </c>
      <c r="C103" s="56">
        <v>46</v>
      </c>
      <c r="D103" s="56">
        <v>4</v>
      </c>
      <c r="E103" s="56">
        <v>0</v>
      </c>
      <c r="F103" s="56">
        <v>0</v>
      </c>
      <c r="G103" s="57">
        <f t="shared" si="1"/>
        <v>42</v>
      </c>
      <c r="H103" s="61"/>
      <c r="I103" s="59"/>
    </row>
    <row r="104" spans="1:9" x14ac:dyDescent="0.25">
      <c r="A104" s="55">
        <v>46125</v>
      </c>
      <c r="B104" s="56" t="s">
        <v>14</v>
      </c>
      <c r="C104" s="62">
        <v>28</v>
      </c>
      <c r="D104" s="62">
        <v>0</v>
      </c>
      <c r="E104" s="62">
        <v>0</v>
      </c>
      <c r="F104" s="62">
        <v>0</v>
      </c>
      <c r="G104" s="57">
        <f>SUM(F104,E104,C104-D104)</f>
        <v>28</v>
      </c>
      <c r="H104" s="58">
        <f>SUM(G104:G110)</f>
        <v>668</v>
      </c>
      <c r="I104" s="59"/>
    </row>
    <row r="105" spans="1:9" x14ac:dyDescent="0.25">
      <c r="A105" s="55">
        <v>46126</v>
      </c>
      <c r="B105" s="56" t="s">
        <v>14</v>
      </c>
      <c r="C105" s="62">
        <v>41</v>
      </c>
      <c r="D105" s="62">
        <v>1</v>
      </c>
      <c r="E105" s="62">
        <v>0</v>
      </c>
      <c r="F105" s="62">
        <v>0</v>
      </c>
      <c r="G105" s="57">
        <f t="shared" si="1"/>
        <v>40</v>
      </c>
      <c r="H105" s="60"/>
      <c r="I105" s="59"/>
    </row>
    <row r="106" spans="1:9" x14ac:dyDescent="0.25">
      <c r="A106" s="55">
        <v>46127</v>
      </c>
      <c r="B106" s="56" t="s">
        <v>14</v>
      </c>
      <c r="C106" s="62">
        <v>58</v>
      </c>
      <c r="D106" s="62">
        <v>6</v>
      </c>
      <c r="E106" s="62">
        <v>0</v>
      </c>
      <c r="F106" s="62">
        <v>0</v>
      </c>
      <c r="G106" s="57">
        <f t="shared" si="1"/>
        <v>52</v>
      </c>
      <c r="H106" s="60"/>
      <c r="I106" s="59"/>
    </row>
    <row r="107" spans="1:9" x14ac:dyDescent="0.25">
      <c r="A107" s="55">
        <v>46128</v>
      </c>
      <c r="B107" s="56" t="s">
        <v>14</v>
      </c>
      <c r="C107" s="62">
        <v>233</v>
      </c>
      <c r="D107" s="62">
        <v>3</v>
      </c>
      <c r="E107" s="62">
        <v>0</v>
      </c>
      <c r="F107" s="62">
        <v>0</v>
      </c>
      <c r="G107" s="57">
        <f t="shared" si="1"/>
        <v>230</v>
      </c>
      <c r="H107" s="60"/>
      <c r="I107" s="59"/>
    </row>
    <row r="108" spans="1:9" x14ac:dyDescent="0.25">
      <c r="A108" s="55">
        <v>46129</v>
      </c>
      <c r="B108" s="56" t="s">
        <v>14</v>
      </c>
      <c r="C108" s="62">
        <v>153</v>
      </c>
      <c r="D108" s="62">
        <v>2</v>
      </c>
      <c r="E108" s="62">
        <v>0</v>
      </c>
      <c r="F108" s="62">
        <v>0</v>
      </c>
      <c r="G108" s="57">
        <f t="shared" si="1"/>
        <v>151</v>
      </c>
      <c r="H108" s="60"/>
      <c r="I108" s="59"/>
    </row>
    <row r="109" spans="1:9" x14ac:dyDescent="0.25">
      <c r="A109" s="55">
        <v>46130</v>
      </c>
      <c r="B109" s="56" t="s">
        <v>14</v>
      </c>
      <c r="C109" s="62">
        <v>75</v>
      </c>
      <c r="D109" s="62">
        <v>5</v>
      </c>
      <c r="E109" s="62">
        <v>0</v>
      </c>
      <c r="F109" s="62">
        <v>0</v>
      </c>
      <c r="G109" s="57">
        <f t="shared" si="1"/>
        <v>70</v>
      </c>
      <c r="H109" s="60"/>
      <c r="I109" s="59"/>
    </row>
    <row r="110" spans="1:9" x14ac:dyDescent="0.25">
      <c r="A110" s="55">
        <v>46131</v>
      </c>
      <c r="B110" s="56" t="s">
        <v>14</v>
      </c>
      <c r="C110" s="62">
        <v>101</v>
      </c>
      <c r="D110" s="62">
        <v>4</v>
      </c>
      <c r="E110" s="62">
        <v>0</v>
      </c>
      <c r="F110" s="62">
        <v>0</v>
      </c>
      <c r="G110" s="57">
        <f t="shared" si="1"/>
        <v>97</v>
      </c>
      <c r="H110" s="61"/>
      <c r="I110" s="59"/>
    </row>
    <row r="111" spans="1:9" x14ac:dyDescent="0.25">
      <c r="A111" s="55">
        <v>46132</v>
      </c>
      <c r="B111" s="56" t="s">
        <v>14</v>
      </c>
      <c r="C111" s="62">
        <v>1254</v>
      </c>
      <c r="D111" s="62">
        <v>7</v>
      </c>
      <c r="E111" s="62">
        <v>0</v>
      </c>
      <c r="F111" s="62">
        <v>0</v>
      </c>
      <c r="G111" s="57">
        <f t="shared" si="1"/>
        <v>1247</v>
      </c>
      <c r="H111" s="58">
        <f>SUM(G111:G117)</f>
        <v>3186</v>
      </c>
      <c r="I111" s="59"/>
    </row>
    <row r="112" spans="1:9" x14ac:dyDescent="0.25">
      <c r="A112" s="55">
        <v>46133</v>
      </c>
      <c r="B112" s="56" t="s">
        <v>14</v>
      </c>
      <c r="C112" s="62">
        <v>311</v>
      </c>
      <c r="D112" s="62">
        <v>4</v>
      </c>
      <c r="E112" s="62">
        <v>0</v>
      </c>
      <c r="F112" s="62">
        <v>0</v>
      </c>
      <c r="G112" s="57">
        <f t="shared" si="1"/>
        <v>307</v>
      </c>
      <c r="H112" s="60"/>
      <c r="I112" s="59"/>
    </row>
    <row r="113" spans="1:9" x14ac:dyDescent="0.25">
      <c r="A113" s="55">
        <v>46134</v>
      </c>
      <c r="B113" s="56" t="s">
        <v>14</v>
      </c>
      <c r="C113" s="62">
        <v>117</v>
      </c>
      <c r="D113" s="62">
        <v>1</v>
      </c>
      <c r="E113" s="62">
        <v>0</v>
      </c>
      <c r="F113" s="62">
        <v>0</v>
      </c>
      <c r="G113" s="57">
        <f t="shared" si="1"/>
        <v>116</v>
      </c>
      <c r="H113" s="60"/>
      <c r="I113" s="59"/>
    </row>
    <row r="114" spans="1:9" x14ac:dyDescent="0.25">
      <c r="A114" s="55">
        <v>46135</v>
      </c>
      <c r="B114" s="56" t="s">
        <v>14</v>
      </c>
      <c r="C114" s="62">
        <v>124</v>
      </c>
      <c r="D114" s="62">
        <v>5</v>
      </c>
      <c r="E114" s="62">
        <v>0</v>
      </c>
      <c r="F114" s="62">
        <v>0</v>
      </c>
      <c r="G114" s="57">
        <f t="shared" si="1"/>
        <v>119</v>
      </c>
      <c r="H114" s="60"/>
      <c r="I114" s="59"/>
    </row>
    <row r="115" spans="1:9" x14ac:dyDescent="0.25">
      <c r="A115" s="55">
        <v>46136</v>
      </c>
      <c r="B115" s="56" t="s">
        <v>14</v>
      </c>
      <c r="C115" s="62">
        <v>749</v>
      </c>
      <c r="D115" s="62">
        <v>11</v>
      </c>
      <c r="E115" s="62">
        <v>0</v>
      </c>
      <c r="F115" s="62">
        <v>0</v>
      </c>
      <c r="G115" s="57">
        <f t="shared" si="1"/>
        <v>738</v>
      </c>
      <c r="H115" s="60"/>
      <c r="I115" s="59"/>
    </row>
    <row r="116" spans="1:9" x14ac:dyDescent="0.25">
      <c r="A116" s="55">
        <v>46137</v>
      </c>
      <c r="B116" s="56" t="s">
        <v>14</v>
      </c>
      <c r="C116" s="62">
        <v>458</v>
      </c>
      <c r="D116" s="62">
        <v>10</v>
      </c>
      <c r="E116" s="62">
        <v>0</v>
      </c>
      <c r="F116" s="62">
        <v>0</v>
      </c>
      <c r="G116" s="57">
        <f t="shared" si="1"/>
        <v>448</v>
      </c>
      <c r="H116" s="60"/>
      <c r="I116" s="59"/>
    </row>
    <row r="117" spans="1:9" x14ac:dyDescent="0.25">
      <c r="A117" s="55">
        <v>46138</v>
      </c>
      <c r="B117" s="56" t="s">
        <v>14</v>
      </c>
      <c r="C117" s="62">
        <v>224</v>
      </c>
      <c r="D117" s="62">
        <v>13</v>
      </c>
      <c r="E117" s="62">
        <v>0</v>
      </c>
      <c r="F117" s="62">
        <v>0</v>
      </c>
      <c r="G117" s="57">
        <f t="shared" si="1"/>
        <v>211</v>
      </c>
      <c r="H117" s="61"/>
      <c r="I117" s="59"/>
    </row>
    <row r="118" spans="1:9" x14ac:dyDescent="0.25">
      <c r="A118" s="55">
        <v>46139</v>
      </c>
      <c r="B118" s="56" t="s">
        <v>14</v>
      </c>
      <c r="C118" s="62">
        <v>171</v>
      </c>
      <c r="D118" s="62">
        <v>15</v>
      </c>
      <c r="E118" s="62">
        <v>0</v>
      </c>
      <c r="F118" s="62">
        <v>0</v>
      </c>
      <c r="G118" s="57">
        <f t="shared" si="1"/>
        <v>156</v>
      </c>
      <c r="H118" s="58">
        <f>SUM(G118:G124)</f>
        <v>827</v>
      </c>
      <c r="I118" s="59"/>
    </row>
    <row r="119" spans="1:9" x14ac:dyDescent="0.25">
      <c r="A119" s="55">
        <v>46140</v>
      </c>
      <c r="B119" s="56" t="s">
        <v>14</v>
      </c>
      <c r="C119" s="62">
        <v>155</v>
      </c>
      <c r="D119" s="62">
        <v>6</v>
      </c>
      <c r="E119" s="62">
        <v>0</v>
      </c>
      <c r="F119" s="62">
        <v>0</v>
      </c>
      <c r="G119" s="57">
        <f t="shared" si="1"/>
        <v>149</v>
      </c>
      <c r="H119" s="60"/>
      <c r="I119" s="59"/>
    </row>
    <row r="120" spans="1:9" x14ac:dyDescent="0.25">
      <c r="A120" s="55">
        <v>46141</v>
      </c>
      <c r="B120" s="56" t="s">
        <v>14</v>
      </c>
      <c r="C120" s="62">
        <v>184</v>
      </c>
      <c r="D120" s="62">
        <v>9</v>
      </c>
      <c r="E120" s="62">
        <v>0</v>
      </c>
      <c r="F120" s="62">
        <v>0</v>
      </c>
      <c r="G120" s="57">
        <f t="shared" si="1"/>
        <v>175</v>
      </c>
      <c r="H120" s="60"/>
      <c r="I120" s="59"/>
    </row>
    <row r="121" spans="1:9" x14ac:dyDescent="0.25">
      <c r="A121" s="55">
        <v>46142</v>
      </c>
      <c r="B121" s="56" t="s">
        <v>14</v>
      </c>
      <c r="C121" s="62">
        <v>132</v>
      </c>
      <c r="D121" s="62">
        <v>3</v>
      </c>
      <c r="E121" s="62">
        <v>0</v>
      </c>
      <c r="F121" s="62">
        <v>0</v>
      </c>
      <c r="G121" s="57">
        <f t="shared" si="1"/>
        <v>129</v>
      </c>
      <c r="H121" s="60"/>
      <c r="I121" s="59"/>
    </row>
    <row r="122" spans="1:9" x14ac:dyDescent="0.25">
      <c r="A122" s="55">
        <v>46143</v>
      </c>
      <c r="B122" s="56" t="s">
        <v>14</v>
      </c>
      <c r="C122" s="62">
        <v>111</v>
      </c>
      <c r="D122" s="62">
        <v>10</v>
      </c>
      <c r="E122" s="62">
        <v>0</v>
      </c>
      <c r="F122" s="62">
        <v>0</v>
      </c>
      <c r="G122" s="57">
        <f t="shared" si="1"/>
        <v>101</v>
      </c>
      <c r="H122" s="60"/>
      <c r="I122" s="59"/>
    </row>
    <row r="123" spans="1:9" x14ac:dyDescent="0.25">
      <c r="A123" s="55">
        <v>46144</v>
      </c>
      <c r="B123" s="56" t="s">
        <v>14</v>
      </c>
      <c r="C123" s="62">
        <v>51</v>
      </c>
      <c r="D123" s="62">
        <v>6</v>
      </c>
      <c r="E123" s="62">
        <v>0</v>
      </c>
      <c r="F123" s="62">
        <v>0</v>
      </c>
      <c r="G123" s="57">
        <f t="shared" si="1"/>
        <v>45</v>
      </c>
      <c r="H123" s="60"/>
      <c r="I123" s="59"/>
    </row>
    <row r="124" spans="1:9" x14ac:dyDescent="0.25">
      <c r="A124" s="55">
        <v>46145</v>
      </c>
      <c r="B124" s="56" t="s">
        <v>14</v>
      </c>
      <c r="C124" s="62">
        <v>72</v>
      </c>
      <c r="D124" s="62">
        <v>0</v>
      </c>
      <c r="E124" s="62">
        <v>0</v>
      </c>
      <c r="F124" s="62">
        <v>0</v>
      </c>
      <c r="G124" s="57">
        <f t="shared" si="1"/>
        <v>72</v>
      </c>
      <c r="H124" s="61"/>
      <c r="I124" s="59"/>
    </row>
    <row r="125" spans="1:9" x14ac:dyDescent="0.25">
      <c r="A125" s="55">
        <v>46146</v>
      </c>
      <c r="B125" s="56" t="s">
        <v>14</v>
      </c>
      <c r="C125" s="62">
        <v>0</v>
      </c>
      <c r="D125" s="62">
        <v>0</v>
      </c>
      <c r="E125" s="62">
        <v>0</v>
      </c>
      <c r="F125" s="62">
        <v>0</v>
      </c>
      <c r="G125" s="57">
        <f t="shared" si="1"/>
        <v>0</v>
      </c>
      <c r="H125" s="58">
        <f>SUM(G125:G131)</f>
        <v>0</v>
      </c>
      <c r="I125" s="59"/>
    </row>
    <row r="126" spans="1:9" x14ac:dyDescent="0.25">
      <c r="A126" s="55">
        <v>46147</v>
      </c>
      <c r="B126" s="56" t="s">
        <v>14</v>
      </c>
      <c r="C126" s="62">
        <v>0</v>
      </c>
      <c r="D126" s="62">
        <v>0</v>
      </c>
      <c r="E126" s="62">
        <v>0</v>
      </c>
      <c r="F126" s="62">
        <v>0</v>
      </c>
      <c r="G126" s="57">
        <f t="shared" si="1"/>
        <v>0</v>
      </c>
      <c r="H126" s="60"/>
      <c r="I126" s="59"/>
    </row>
    <row r="127" spans="1:9" x14ac:dyDescent="0.25">
      <c r="A127" s="55">
        <v>46148</v>
      </c>
      <c r="B127" s="56" t="s">
        <v>14</v>
      </c>
      <c r="C127" s="62">
        <v>0</v>
      </c>
      <c r="D127" s="62">
        <v>0</v>
      </c>
      <c r="E127" s="62">
        <v>0</v>
      </c>
      <c r="F127" s="62">
        <v>0</v>
      </c>
      <c r="G127" s="57">
        <f t="shared" si="1"/>
        <v>0</v>
      </c>
      <c r="H127" s="60"/>
      <c r="I127" s="59"/>
    </row>
    <row r="128" spans="1:9" x14ac:dyDescent="0.25">
      <c r="A128" s="55">
        <v>46149</v>
      </c>
      <c r="B128" s="56" t="s">
        <v>14</v>
      </c>
      <c r="C128" s="62">
        <v>0</v>
      </c>
      <c r="D128" s="62">
        <v>0</v>
      </c>
      <c r="E128" s="62">
        <v>0</v>
      </c>
      <c r="F128" s="62">
        <v>0</v>
      </c>
      <c r="G128" s="57">
        <f t="shared" si="1"/>
        <v>0</v>
      </c>
      <c r="H128" s="60"/>
      <c r="I128" s="59"/>
    </row>
    <row r="129" spans="1:9" x14ac:dyDescent="0.25">
      <c r="A129" s="55">
        <v>46150</v>
      </c>
      <c r="B129" s="56" t="s">
        <v>14</v>
      </c>
      <c r="C129" s="62">
        <v>0</v>
      </c>
      <c r="D129" s="62">
        <v>0</v>
      </c>
      <c r="E129" s="62">
        <v>0</v>
      </c>
      <c r="F129" s="62">
        <v>0</v>
      </c>
      <c r="G129" s="57">
        <f t="shared" si="1"/>
        <v>0</v>
      </c>
      <c r="H129" s="60"/>
      <c r="I129" s="59"/>
    </row>
    <row r="130" spans="1:9" x14ac:dyDescent="0.25">
      <c r="A130" s="55">
        <v>46151</v>
      </c>
      <c r="B130" s="56" t="s">
        <v>14</v>
      </c>
      <c r="C130" s="62">
        <v>0</v>
      </c>
      <c r="D130" s="62">
        <v>0</v>
      </c>
      <c r="E130" s="62">
        <v>0</v>
      </c>
      <c r="F130" s="62">
        <v>0</v>
      </c>
      <c r="G130" s="57">
        <f t="shared" si="1"/>
        <v>0</v>
      </c>
      <c r="H130" s="60"/>
      <c r="I130" s="59"/>
    </row>
    <row r="131" spans="1:9" x14ac:dyDescent="0.25">
      <c r="A131" s="55">
        <v>46152</v>
      </c>
      <c r="B131" s="56" t="s">
        <v>14</v>
      </c>
      <c r="C131" s="62">
        <v>0</v>
      </c>
      <c r="D131" s="62">
        <v>0</v>
      </c>
      <c r="E131" s="62">
        <v>0</v>
      </c>
      <c r="F131" s="62">
        <v>0</v>
      </c>
      <c r="G131" s="57">
        <f t="shared" ref="G131:G194" si="2">SUM(F131,E131,C131-D131)</f>
        <v>0</v>
      </c>
      <c r="H131" s="61"/>
      <c r="I131" s="59"/>
    </row>
    <row r="132" spans="1:9" x14ac:dyDescent="0.25">
      <c r="A132" s="55">
        <v>46153</v>
      </c>
      <c r="B132" s="56" t="s">
        <v>14</v>
      </c>
      <c r="C132" s="62">
        <v>0</v>
      </c>
      <c r="D132" s="62">
        <v>0</v>
      </c>
      <c r="E132" s="62">
        <v>0</v>
      </c>
      <c r="F132" s="62">
        <v>0</v>
      </c>
      <c r="G132" s="57">
        <f t="shared" si="2"/>
        <v>0</v>
      </c>
      <c r="H132" s="58">
        <f>SUM(G132:G138)</f>
        <v>0</v>
      </c>
      <c r="I132" s="59"/>
    </row>
    <row r="133" spans="1:9" x14ac:dyDescent="0.25">
      <c r="A133" s="55">
        <v>46154</v>
      </c>
      <c r="B133" s="56" t="s">
        <v>14</v>
      </c>
      <c r="C133" s="62">
        <v>0</v>
      </c>
      <c r="D133" s="62">
        <v>0</v>
      </c>
      <c r="E133" s="62">
        <v>0</v>
      </c>
      <c r="F133" s="62">
        <v>0</v>
      </c>
      <c r="G133" s="57">
        <f t="shared" si="2"/>
        <v>0</v>
      </c>
      <c r="H133" s="60"/>
      <c r="I133" s="59"/>
    </row>
    <row r="134" spans="1:9" x14ac:dyDescent="0.25">
      <c r="A134" s="55">
        <v>46155</v>
      </c>
      <c r="B134" s="56" t="s">
        <v>14</v>
      </c>
      <c r="C134" s="62">
        <v>0</v>
      </c>
      <c r="D134" s="62">
        <v>0</v>
      </c>
      <c r="E134" s="62">
        <v>0</v>
      </c>
      <c r="F134" s="62">
        <v>0</v>
      </c>
      <c r="G134" s="57">
        <f t="shared" si="2"/>
        <v>0</v>
      </c>
      <c r="H134" s="60"/>
      <c r="I134" s="59"/>
    </row>
    <row r="135" spans="1:9" x14ac:dyDescent="0.25">
      <c r="A135" s="55">
        <v>46156</v>
      </c>
      <c r="B135" s="56" t="s">
        <v>14</v>
      </c>
      <c r="C135" s="62">
        <v>0</v>
      </c>
      <c r="D135" s="62">
        <v>0</v>
      </c>
      <c r="E135" s="62">
        <v>0</v>
      </c>
      <c r="F135" s="62">
        <v>0</v>
      </c>
      <c r="G135" s="57">
        <f t="shared" si="2"/>
        <v>0</v>
      </c>
      <c r="H135" s="60"/>
      <c r="I135" s="59"/>
    </row>
    <row r="136" spans="1:9" x14ac:dyDescent="0.25">
      <c r="A136" s="55">
        <v>46157</v>
      </c>
      <c r="B136" s="56" t="s">
        <v>14</v>
      </c>
      <c r="C136" s="62">
        <v>0</v>
      </c>
      <c r="D136" s="62">
        <v>0</v>
      </c>
      <c r="E136" s="62">
        <v>0</v>
      </c>
      <c r="F136" s="62">
        <v>0</v>
      </c>
      <c r="G136" s="57">
        <f t="shared" si="2"/>
        <v>0</v>
      </c>
      <c r="H136" s="60"/>
      <c r="I136" s="59"/>
    </row>
    <row r="137" spans="1:9" x14ac:dyDescent="0.25">
      <c r="A137" s="55">
        <v>46158</v>
      </c>
      <c r="B137" s="56" t="s">
        <v>14</v>
      </c>
      <c r="C137" s="62">
        <v>0</v>
      </c>
      <c r="D137" s="62">
        <v>0</v>
      </c>
      <c r="E137" s="62">
        <v>0</v>
      </c>
      <c r="F137" s="62">
        <v>0</v>
      </c>
      <c r="G137" s="57">
        <f t="shared" si="2"/>
        <v>0</v>
      </c>
      <c r="H137" s="60"/>
      <c r="I137" s="59"/>
    </row>
    <row r="138" spans="1:9" x14ac:dyDescent="0.25">
      <c r="A138" s="55">
        <v>46159</v>
      </c>
      <c r="B138" s="56" t="s">
        <v>14</v>
      </c>
      <c r="C138" s="62">
        <v>0</v>
      </c>
      <c r="D138" s="62">
        <v>0</v>
      </c>
      <c r="E138" s="62">
        <v>0</v>
      </c>
      <c r="F138" s="62">
        <v>0</v>
      </c>
      <c r="G138" s="57">
        <f t="shared" si="2"/>
        <v>0</v>
      </c>
      <c r="H138" s="61"/>
      <c r="I138" s="59"/>
    </row>
    <row r="139" spans="1:9" x14ac:dyDescent="0.25">
      <c r="A139" s="55">
        <v>46160</v>
      </c>
      <c r="B139" s="56" t="s">
        <v>14</v>
      </c>
      <c r="C139" s="62">
        <v>0</v>
      </c>
      <c r="D139" s="62">
        <v>0</v>
      </c>
      <c r="E139" s="62">
        <v>0</v>
      </c>
      <c r="F139" s="62">
        <v>0</v>
      </c>
      <c r="G139" s="57">
        <f t="shared" si="2"/>
        <v>0</v>
      </c>
      <c r="H139" s="58">
        <f>SUM(G139:G145)</f>
        <v>0</v>
      </c>
      <c r="I139" s="59"/>
    </row>
    <row r="140" spans="1:9" x14ac:dyDescent="0.25">
      <c r="A140" s="55">
        <v>46161</v>
      </c>
      <c r="B140" s="56" t="s">
        <v>14</v>
      </c>
      <c r="C140" s="62">
        <v>0</v>
      </c>
      <c r="D140" s="62">
        <v>0</v>
      </c>
      <c r="E140" s="62">
        <v>0</v>
      </c>
      <c r="F140" s="62">
        <v>0</v>
      </c>
      <c r="G140" s="57">
        <f t="shared" si="2"/>
        <v>0</v>
      </c>
      <c r="H140" s="60"/>
      <c r="I140" s="59"/>
    </row>
    <row r="141" spans="1:9" x14ac:dyDescent="0.25">
      <c r="A141" s="55">
        <v>46162</v>
      </c>
      <c r="B141" s="56" t="s">
        <v>14</v>
      </c>
      <c r="C141" s="62">
        <v>0</v>
      </c>
      <c r="D141" s="62">
        <v>0</v>
      </c>
      <c r="E141" s="62">
        <v>0</v>
      </c>
      <c r="F141" s="62">
        <v>0</v>
      </c>
      <c r="G141" s="57">
        <f t="shared" si="2"/>
        <v>0</v>
      </c>
      <c r="H141" s="60"/>
      <c r="I141" s="59"/>
    </row>
    <row r="142" spans="1:9" x14ac:dyDescent="0.25">
      <c r="A142" s="55">
        <v>46163</v>
      </c>
      <c r="B142" s="56" t="s">
        <v>14</v>
      </c>
      <c r="C142" s="62">
        <v>0</v>
      </c>
      <c r="D142" s="62">
        <v>0</v>
      </c>
      <c r="E142" s="62">
        <v>0</v>
      </c>
      <c r="F142" s="62">
        <v>0</v>
      </c>
      <c r="G142" s="57">
        <f t="shared" si="2"/>
        <v>0</v>
      </c>
      <c r="H142" s="60"/>
      <c r="I142" s="59"/>
    </row>
    <row r="143" spans="1:9" x14ac:dyDescent="0.25">
      <c r="A143" s="55">
        <v>46164</v>
      </c>
      <c r="B143" s="56" t="s">
        <v>14</v>
      </c>
      <c r="C143" s="62">
        <v>0</v>
      </c>
      <c r="D143" s="62">
        <v>0</v>
      </c>
      <c r="E143" s="62">
        <v>0</v>
      </c>
      <c r="F143" s="62">
        <v>0</v>
      </c>
      <c r="G143" s="57">
        <f t="shared" si="2"/>
        <v>0</v>
      </c>
      <c r="H143" s="60"/>
      <c r="I143" s="59"/>
    </row>
    <row r="144" spans="1:9" x14ac:dyDescent="0.25">
      <c r="A144" s="55">
        <v>46165</v>
      </c>
      <c r="B144" s="56" t="s">
        <v>14</v>
      </c>
      <c r="C144" s="62">
        <v>0</v>
      </c>
      <c r="D144" s="62">
        <v>0</v>
      </c>
      <c r="E144" s="62">
        <v>0</v>
      </c>
      <c r="F144" s="62">
        <v>0</v>
      </c>
      <c r="G144" s="57">
        <f t="shared" si="2"/>
        <v>0</v>
      </c>
      <c r="H144" s="60"/>
      <c r="I144" s="59"/>
    </row>
    <row r="145" spans="1:9" x14ac:dyDescent="0.25">
      <c r="A145" s="55">
        <v>46166</v>
      </c>
      <c r="B145" s="56" t="s">
        <v>14</v>
      </c>
      <c r="C145" s="62">
        <v>0</v>
      </c>
      <c r="D145" s="62">
        <v>0</v>
      </c>
      <c r="E145" s="62">
        <v>0</v>
      </c>
      <c r="F145" s="62">
        <v>0</v>
      </c>
      <c r="G145" s="57">
        <f t="shared" si="2"/>
        <v>0</v>
      </c>
      <c r="H145" s="61"/>
      <c r="I145" s="59"/>
    </row>
    <row r="146" spans="1:9" x14ac:dyDescent="0.25">
      <c r="A146" s="55">
        <v>46167</v>
      </c>
      <c r="B146" s="56" t="s">
        <v>14</v>
      </c>
      <c r="C146" s="62">
        <v>0</v>
      </c>
      <c r="D146" s="62">
        <v>0</v>
      </c>
      <c r="E146" s="62">
        <v>0</v>
      </c>
      <c r="F146" s="62">
        <v>0</v>
      </c>
      <c r="G146" s="57">
        <f t="shared" si="2"/>
        <v>0</v>
      </c>
      <c r="H146" s="58">
        <f>SUM(G146:G152)</f>
        <v>0</v>
      </c>
      <c r="I146" s="59"/>
    </row>
    <row r="147" spans="1:9" x14ac:dyDescent="0.25">
      <c r="A147" s="55">
        <v>46168</v>
      </c>
      <c r="B147" s="56" t="s">
        <v>14</v>
      </c>
      <c r="C147" s="62">
        <v>0</v>
      </c>
      <c r="D147" s="62">
        <v>0</v>
      </c>
      <c r="E147" s="62">
        <v>0</v>
      </c>
      <c r="F147" s="62">
        <v>0</v>
      </c>
      <c r="G147" s="57">
        <f t="shared" si="2"/>
        <v>0</v>
      </c>
      <c r="H147" s="60"/>
      <c r="I147" s="59"/>
    </row>
    <row r="148" spans="1:9" x14ac:dyDescent="0.25">
      <c r="A148" s="55">
        <v>46169</v>
      </c>
      <c r="B148" s="56" t="s">
        <v>14</v>
      </c>
      <c r="C148" s="62">
        <v>0</v>
      </c>
      <c r="D148" s="62">
        <v>0</v>
      </c>
      <c r="E148" s="62">
        <v>0</v>
      </c>
      <c r="F148" s="62">
        <v>0</v>
      </c>
      <c r="G148" s="57">
        <f t="shared" si="2"/>
        <v>0</v>
      </c>
      <c r="H148" s="60"/>
      <c r="I148" s="59"/>
    </row>
    <row r="149" spans="1:9" x14ac:dyDescent="0.25">
      <c r="A149" s="55">
        <v>46170</v>
      </c>
      <c r="B149" s="56" t="s">
        <v>14</v>
      </c>
      <c r="C149" s="62">
        <v>0</v>
      </c>
      <c r="D149" s="62">
        <v>0</v>
      </c>
      <c r="E149" s="62">
        <v>0</v>
      </c>
      <c r="F149" s="62">
        <v>0</v>
      </c>
      <c r="G149" s="57">
        <f t="shared" si="2"/>
        <v>0</v>
      </c>
      <c r="H149" s="60"/>
      <c r="I149" s="59"/>
    </row>
    <row r="150" spans="1:9" x14ac:dyDescent="0.25">
      <c r="A150" s="55">
        <v>46171</v>
      </c>
      <c r="B150" s="56" t="s">
        <v>14</v>
      </c>
      <c r="C150" s="62">
        <v>0</v>
      </c>
      <c r="D150" s="62">
        <v>0</v>
      </c>
      <c r="E150" s="62">
        <v>0</v>
      </c>
      <c r="F150" s="62">
        <v>0</v>
      </c>
      <c r="G150" s="57">
        <f t="shared" si="2"/>
        <v>0</v>
      </c>
      <c r="H150" s="60"/>
      <c r="I150" s="59"/>
    </row>
    <row r="151" spans="1:9" x14ac:dyDescent="0.25">
      <c r="A151" s="55">
        <v>46172</v>
      </c>
      <c r="B151" s="56" t="s">
        <v>14</v>
      </c>
      <c r="C151" s="62">
        <v>0</v>
      </c>
      <c r="D151" s="62">
        <v>0</v>
      </c>
      <c r="E151" s="62">
        <v>0</v>
      </c>
      <c r="F151" s="62">
        <v>0</v>
      </c>
      <c r="G151" s="57">
        <f t="shared" si="2"/>
        <v>0</v>
      </c>
      <c r="H151" s="60"/>
      <c r="I151" s="59"/>
    </row>
    <row r="152" spans="1:9" x14ac:dyDescent="0.25">
      <c r="A152" s="55">
        <v>46173</v>
      </c>
      <c r="B152" s="56" t="s">
        <v>14</v>
      </c>
      <c r="C152" s="62">
        <v>0</v>
      </c>
      <c r="D152" s="62">
        <v>0</v>
      </c>
      <c r="E152" s="62">
        <v>0</v>
      </c>
      <c r="F152" s="62">
        <v>0</v>
      </c>
      <c r="G152" s="57">
        <f t="shared" si="2"/>
        <v>0</v>
      </c>
      <c r="H152" s="61"/>
      <c r="I152" s="59"/>
    </row>
    <row r="153" spans="1:9" x14ac:dyDescent="0.25">
      <c r="A153" s="55">
        <v>46174</v>
      </c>
      <c r="B153" s="56" t="s">
        <v>14</v>
      </c>
      <c r="C153" s="62">
        <v>0</v>
      </c>
      <c r="D153" s="62">
        <v>0</v>
      </c>
      <c r="E153" s="62">
        <v>0</v>
      </c>
      <c r="F153" s="62">
        <v>0</v>
      </c>
      <c r="G153" s="57">
        <f t="shared" si="2"/>
        <v>0</v>
      </c>
      <c r="H153" s="58">
        <f>SUM(G153:G159)</f>
        <v>0</v>
      </c>
      <c r="I153" s="59"/>
    </row>
    <row r="154" spans="1:9" x14ac:dyDescent="0.25">
      <c r="A154" s="55">
        <v>46175</v>
      </c>
      <c r="B154" s="56" t="s">
        <v>14</v>
      </c>
      <c r="C154" s="62">
        <v>0</v>
      </c>
      <c r="D154" s="62">
        <v>0</v>
      </c>
      <c r="E154" s="62">
        <v>0</v>
      </c>
      <c r="F154" s="62">
        <v>0</v>
      </c>
      <c r="G154" s="57">
        <f t="shared" si="2"/>
        <v>0</v>
      </c>
      <c r="H154" s="60"/>
      <c r="I154" s="59"/>
    </row>
    <row r="155" spans="1:9" x14ac:dyDescent="0.25">
      <c r="A155" s="55">
        <v>46176</v>
      </c>
      <c r="B155" s="56" t="s">
        <v>14</v>
      </c>
      <c r="C155" s="62">
        <v>0</v>
      </c>
      <c r="D155" s="62">
        <v>0</v>
      </c>
      <c r="E155" s="62">
        <v>0</v>
      </c>
      <c r="F155" s="62">
        <v>0</v>
      </c>
      <c r="G155" s="57">
        <f t="shared" si="2"/>
        <v>0</v>
      </c>
      <c r="H155" s="60"/>
      <c r="I155" s="59"/>
    </row>
    <row r="156" spans="1:9" x14ac:dyDescent="0.25">
      <c r="A156" s="55">
        <v>46177</v>
      </c>
      <c r="B156" s="56" t="s">
        <v>14</v>
      </c>
      <c r="C156" s="62">
        <v>0</v>
      </c>
      <c r="D156" s="62">
        <v>0</v>
      </c>
      <c r="E156" s="62">
        <v>0</v>
      </c>
      <c r="F156" s="62">
        <v>0</v>
      </c>
      <c r="G156" s="57">
        <f t="shared" si="2"/>
        <v>0</v>
      </c>
      <c r="H156" s="60"/>
      <c r="I156" s="59"/>
    </row>
    <row r="157" spans="1:9" x14ac:dyDescent="0.25">
      <c r="A157" s="55">
        <v>46178</v>
      </c>
      <c r="B157" s="56" t="s">
        <v>14</v>
      </c>
      <c r="C157" s="62">
        <v>0</v>
      </c>
      <c r="D157" s="62">
        <v>0</v>
      </c>
      <c r="E157" s="62">
        <v>0</v>
      </c>
      <c r="F157" s="62">
        <v>0</v>
      </c>
      <c r="G157" s="57">
        <f t="shared" si="2"/>
        <v>0</v>
      </c>
      <c r="H157" s="60"/>
      <c r="I157" s="59"/>
    </row>
    <row r="158" spans="1:9" x14ac:dyDescent="0.25">
      <c r="A158" s="55">
        <v>46179</v>
      </c>
      <c r="B158" s="56" t="s">
        <v>14</v>
      </c>
      <c r="C158" s="62">
        <v>0</v>
      </c>
      <c r="D158" s="62">
        <v>0</v>
      </c>
      <c r="E158" s="62">
        <v>0</v>
      </c>
      <c r="F158" s="62">
        <v>0</v>
      </c>
      <c r="G158" s="57">
        <f t="shared" si="2"/>
        <v>0</v>
      </c>
      <c r="H158" s="60"/>
      <c r="I158" s="59"/>
    </row>
    <row r="159" spans="1:9" x14ac:dyDescent="0.25">
      <c r="A159" s="55">
        <v>46180</v>
      </c>
      <c r="B159" s="56" t="s">
        <v>14</v>
      </c>
      <c r="C159" s="62">
        <v>0</v>
      </c>
      <c r="D159" s="62">
        <v>0</v>
      </c>
      <c r="E159" s="62">
        <v>0</v>
      </c>
      <c r="F159" s="62">
        <v>0</v>
      </c>
      <c r="G159" s="57">
        <f t="shared" si="2"/>
        <v>0</v>
      </c>
      <c r="H159" s="61"/>
      <c r="I159" s="59"/>
    </row>
    <row r="160" spans="1:9" x14ac:dyDescent="0.25">
      <c r="A160" s="55">
        <v>46181</v>
      </c>
      <c r="B160" s="56" t="s">
        <v>14</v>
      </c>
      <c r="C160" s="62">
        <v>0</v>
      </c>
      <c r="D160" s="62">
        <v>0</v>
      </c>
      <c r="E160" s="62">
        <v>0</v>
      </c>
      <c r="F160" s="62">
        <v>0</v>
      </c>
      <c r="G160" s="57">
        <f t="shared" si="2"/>
        <v>0</v>
      </c>
      <c r="H160" s="58">
        <f>SUM(G160:G166)</f>
        <v>0</v>
      </c>
      <c r="I160" s="59"/>
    </row>
    <row r="161" spans="1:9" x14ac:dyDescent="0.25">
      <c r="A161" s="55">
        <v>46182</v>
      </c>
      <c r="B161" s="56" t="s">
        <v>14</v>
      </c>
      <c r="C161" s="62">
        <v>0</v>
      </c>
      <c r="D161" s="62">
        <v>0</v>
      </c>
      <c r="E161" s="62">
        <v>0</v>
      </c>
      <c r="F161" s="62">
        <v>0</v>
      </c>
      <c r="G161" s="57">
        <f t="shared" si="2"/>
        <v>0</v>
      </c>
      <c r="H161" s="60"/>
      <c r="I161" s="59"/>
    </row>
    <row r="162" spans="1:9" x14ac:dyDescent="0.25">
      <c r="A162" s="55">
        <v>46183</v>
      </c>
      <c r="B162" s="56" t="s">
        <v>14</v>
      </c>
      <c r="C162" s="62">
        <v>0</v>
      </c>
      <c r="D162" s="62">
        <v>0</v>
      </c>
      <c r="E162" s="62">
        <v>0</v>
      </c>
      <c r="F162" s="62">
        <v>0</v>
      </c>
      <c r="G162" s="57">
        <f t="shared" si="2"/>
        <v>0</v>
      </c>
      <c r="H162" s="60"/>
      <c r="I162" s="59"/>
    </row>
    <row r="163" spans="1:9" x14ac:dyDescent="0.25">
      <c r="A163" s="55">
        <v>46184</v>
      </c>
      <c r="B163" s="56" t="s">
        <v>14</v>
      </c>
      <c r="C163" s="62">
        <v>0</v>
      </c>
      <c r="D163" s="62">
        <v>0</v>
      </c>
      <c r="E163" s="62">
        <v>0</v>
      </c>
      <c r="F163" s="62">
        <v>0</v>
      </c>
      <c r="G163" s="57">
        <f t="shared" si="2"/>
        <v>0</v>
      </c>
      <c r="H163" s="60"/>
      <c r="I163" s="59"/>
    </row>
    <row r="164" spans="1:9" x14ac:dyDescent="0.25">
      <c r="A164" s="55">
        <v>46185</v>
      </c>
      <c r="B164" s="56" t="s">
        <v>14</v>
      </c>
      <c r="C164" s="62">
        <v>0</v>
      </c>
      <c r="D164" s="62">
        <v>0</v>
      </c>
      <c r="E164" s="62">
        <v>0</v>
      </c>
      <c r="F164" s="62">
        <v>0</v>
      </c>
      <c r="G164" s="57">
        <f t="shared" si="2"/>
        <v>0</v>
      </c>
      <c r="H164" s="60"/>
      <c r="I164" s="59"/>
    </row>
    <row r="165" spans="1:9" x14ac:dyDescent="0.25">
      <c r="A165" s="55">
        <v>46186</v>
      </c>
      <c r="B165" s="56" t="s">
        <v>14</v>
      </c>
      <c r="C165" s="62">
        <v>0</v>
      </c>
      <c r="D165" s="62">
        <v>0</v>
      </c>
      <c r="E165" s="62">
        <v>0</v>
      </c>
      <c r="F165" s="62">
        <v>0</v>
      </c>
      <c r="G165" s="57">
        <f t="shared" si="2"/>
        <v>0</v>
      </c>
      <c r="H165" s="60"/>
      <c r="I165" s="59"/>
    </row>
    <row r="166" spans="1:9" x14ac:dyDescent="0.25">
      <c r="A166" s="55">
        <v>46187</v>
      </c>
      <c r="B166" s="56" t="s">
        <v>14</v>
      </c>
      <c r="C166" s="62">
        <v>0</v>
      </c>
      <c r="D166" s="62">
        <v>0</v>
      </c>
      <c r="E166" s="62">
        <v>0</v>
      </c>
      <c r="F166" s="62">
        <v>0</v>
      </c>
      <c r="G166" s="57">
        <f t="shared" si="2"/>
        <v>0</v>
      </c>
      <c r="H166" s="61"/>
      <c r="I166" s="59"/>
    </row>
    <row r="167" spans="1:9" x14ac:dyDescent="0.25">
      <c r="A167" s="55">
        <v>46188</v>
      </c>
      <c r="B167" s="56" t="s">
        <v>14</v>
      </c>
      <c r="C167" s="62">
        <v>0</v>
      </c>
      <c r="D167" s="62">
        <v>0</v>
      </c>
      <c r="E167" s="62">
        <v>0</v>
      </c>
      <c r="F167" s="62">
        <v>0</v>
      </c>
      <c r="G167" s="57">
        <f t="shared" si="2"/>
        <v>0</v>
      </c>
      <c r="H167" s="58">
        <f>SUM(G167:G173)</f>
        <v>0</v>
      </c>
      <c r="I167" s="59"/>
    </row>
    <row r="168" spans="1:9" x14ac:dyDescent="0.25">
      <c r="A168" s="55">
        <v>46189</v>
      </c>
      <c r="B168" s="56" t="s">
        <v>14</v>
      </c>
      <c r="C168" s="62">
        <v>0</v>
      </c>
      <c r="D168" s="62">
        <v>0</v>
      </c>
      <c r="E168" s="62">
        <v>0</v>
      </c>
      <c r="F168" s="62">
        <v>0</v>
      </c>
      <c r="G168" s="57">
        <f t="shared" si="2"/>
        <v>0</v>
      </c>
      <c r="H168" s="60"/>
      <c r="I168" s="59"/>
    </row>
    <row r="169" spans="1:9" x14ac:dyDescent="0.25">
      <c r="A169" s="55">
        <v>46190</v>
      </c>
      <c r="B169" s="56" t="s">
        <v>14</v>
      </c>
      <c r="C169" s="62">
        <v>0</v>
      </c>
      <c r="D169" s="62">
        <v>0</v>
      </c>
      <c r="E169" s="62">
        <v>0</v>
      </c>
      <c r="F169" s="62">
        <v>0</v>
      </c>
      <c r="G169" s="57">
        <f t="shared" si="2"/>
        <v>0</v>
      </c>
      <c r="H169" s="60"/>
      <c r="I169" s="59"/>
    </row>
    <row r="170" spans="1:9" x14ac:dyDescent="0.25">
      <c r="A170" s="55">
        <v>46191</v>
      </c>
      <c r="B170" s="56" t="s">
        <v>14</v>
      </c>
      <c r="C170" s="62">
        <v>0</v>
      </c>
      <c r="D170" s="62">
        <v>0</v>
      </c>
      <c r="E170" s="62">
        <v>0</v>
      </c>
      <c r="F170" s="62">
        <v>0</v>
      </c>
      <c r="G170" s="57">
        <f t="shared" si="2"/>
        <v>0</v>
      </c>
      <c r="H170" s="60"/>
      <c r="I170" s="59"/>
    </row>
    <row r="171" spans="1:9" x14ac:dyDescent="0.25">
      <c r="A171" s="55">
        <v>46192</v>
      </c>
      <c r="B171" s="56" t="s">
        <v>14</v>
      </c>
      <c r="C171" s="62">
        <v>0</v>
      </c>
      <c r="D171" s="62">
        <v>0</v>
      </c>
      <c r="E171" s="62">
        <v>0</v>
      </c>
      <c r="F171" s="62">
        <v>0</v>
      </c>
      <c r="G171" s="57">
        <f t="shared" si="2"/>
        <v>0</v>
      </c>
      <c r="H171" s="60"/>
      <c r="I171" s="59"/>
    </row>
    <row r="172" spans="1:9" x14ac:dyDescent="0.25">
      <c r="A172" s="55">
        <v>46193</v>
      </c>
      <c r="B172" s="56" t="s">
        <v>14</v>
      </c>
      <c r="C172" s="62">
        <v>0</v>
      </c>
      <c r="D172" s="62">
        <v>0</v>
      </c>
      <c r="E172" s="62">
        <v>0</v>
      </c>
      <c r="F172" s="62">
        <v>0</v>
      </c>
      <c r="G172" s="57">
        <f t="shared" si="2"/>
        <v>0</v>
      </c>
      <c r="H172" s="60"/>
      <c r="I172" s="59"/>
    </row>
    <row r="173" spans="1:9" x14ac:dyDescent="0.25">
      <c r="A173" s="55">
        <v>46194</v>
      </c>
      <c r="B173" s="56" t="s">
        <v>14</v>
      </c>
      <c r="C173" s="62">
        <v>0</v>
      </c>
      <c r="D173" s="62">
        <v>0</v>
      </c>
      <c r="E173" s="62">
        <v>0</v>
      </c>
      <c r="F173" s="62">
        <v>0</v>
      </c>
      <c r="G173" s="57">
        <f t="shared" si="2"/>
        <v>0</v>
      </c>
      <c r="H173" s="61"/>
      <c r="I173" s="59"/>
    </row>
    <row r="174" spans="1:9" x14ac:dyDescent="0.25">
      <c r="A174" s="55">
        <v>46195</v>
      </c>
      <c r="B174" s="56" t="s">
        <v>14</v>
      </c>
      <c r="C174" s="62">
        <v>0</v>
      </c>
      <c r="D174" s="62">
        <v>0</v>
      </c>
      <c r="E174" s="62">
        <v>0</v>
      </c>
      <c r="F174" s="62">
        <v>0</v>
      </c>
      <c r="G174" s="57">
        <f t="shared" si="2"/>
        <v>0</v>
      </c>
      <c r="H174" s="58">
        <f>SUM(G174:G180)</f>
        <v>0</v>
      </c>
      <c r="I174" s="59"/>
    </row>
    <row r="175" spans="1:9" x14ac:dyDescent="0.25">
      <c r="A175" s="55">
        <v>46196</v>
      </c>
      <c r="B175" s="56" t="s">
        <v>14</v>
      </c>
      <c r="C175" s="62">
        <v>0</v>
      </c>
      <c r="D175" s="62">
        <v>0</v>
      </c>
      <c r="E175" s="62">
        <v>0</v>
      </c>
      <c r="F175" s="62">
        <v>0</v>
      </c>
      <c r="G175" s="57">
        <f t="shared" si="2"/>
        <v>0</v>
      </c>
      <c r="H175" s="60"/>
      <c r="I175" s="59"/>
    </row>
    <row r="176" spans="1:9" x14ac:dyDescent="0.25">
      <c r="A176" s="55">
        <v>46197</v>
      </c>
      <c r="B176" s="56" t="s">
        <v>14</v>
      </c>
      <c r="C176" s="62">
        <v>0</v>
      </c>
      <c r="D176" s="62">
        <v>0</v>
      </c>
      <c r="E176" s="62">
        <v>0</v>
      </c>
      <c r="F176" s="62">
        <v>0</v>
      </c>
      <c r="G176" s="57">
        <f t="shared" si="2"/>
        <v>0</v>
      </c>
      <c r="H176" s="60"/>
      <c r="I176" s="59"/>
    </row>
    <row r="177" spans="1:9" x14ac:dyDescent="0.25">
      <c r="A177" s="55">
        <v>46198</v>
      </c>
      <c r="B177" s="56" t="s">
        <v>14</v>
      </c>
      <c r="C177" s="62">
        <v>0</v>
      </c>
      <c r="D177" s="62">
        <v>0</v>
      </c>
      <c r="E177" s="62">
        <v>0</v>
      </c>
      <c r="F177" s="62">
        <v>0</v>
      </c>
      <c r="G177" s="57">
        <f t="shared" si="2"/>
        <v>0</v>
      </c>
      <c r="H177" s="60"/>
      <c r="I177" s="59"/>
    </row>
    <row r="178" spans="1:9" x14ac:dyDescent="0.25">
      <c r="A178" s="55">
        <v>46199</v>
      </c>
      <c r="B178" s="56" t="s">
        <v>14</v>
      </c>
      <c r="C178" s="62">
        <v>0</v>
      </c>
      <c r="D178" s="62">
        <v>0</v>
      </c>
      <c r="E178" s="62">
        <v>0</v>
      </c>
      <c r="F178" s="62">
        <v>0</v>
      </c>
      <c r="G178" s="57">
        <f t="shared" si="2"/>
        <v>0</v>
      </c>
      <c r="H178" s="60"/>
      <c r="I178" s="59"/>
    </row>
    <row r="179" spans="1:9" x14ac:dyDescent="0.25">
      <c r="A179" s="55">
        <v>46200</v>
      </c>
      <c r="B179" s="56" t="s">
        <v>14</v>
      </c>
      <c r="C179" s="62">
        <v>0</v>
      </c>
      <c r="D179" s="62">
        <v>0</v>
      </c>
      <c r="E179" s="62">
        <v>0</v>
      </c>
      <c r="F179" s="62">
        <v>0</v>
      </c>
      <c r="G179" s="57">
        <f t="shared" si="2"/>
        <v>0</v>
      </c>
      <c r="H179" s="60"/>
      <c r="I179" s="59"/>
    </row>
    <row r="180" spans="1:9" x14ac:dyDescent="0.25">
      <c r="A180" s="55">
        <v>46201</v>
      </c>
      <c r="B180" s="56" t="s">
        <v>14</v>
      </c>
      <c r="C180" s="62">
        <v>0</v>
      </c>
      <c r="D180" s="62">
        <v>0</v>
      </c>
      <c r="E180" s="62">
        <v>0</v>
      </c>
      <c r="F180" s="62">
        <v>0</v>
      </c>
      <c r="G180" s="57">
        <f t="shared" si="2"/>
        <v>0</v>
      </c>
      <c r="H180" s="61"/>
      <c r="I180" s="59"/>
    </row>
    <row r="181" spans="1:9" x14ac:dyDescent="0.25">
      <c r="A181" s="55">
        <v>46202</v>
      </c>
      <c r="B181" s="56" t="s">
        <v>14</v>
      </c>
      <c r="C181" s="62">
        <v>0</v>
      </c>
      <c r="D181" s="62">
        <v>0</v>
      </c>
      <c r="E181" s="62">
        <v>0</v>
      </c>
      <c r="F181" s="62">
        <v>0</v>
      </c>
      <c r="G181" s="57">
        <f t="shared" si="2"/>
        <v>0</v>
      </c>
      <c r="H181" s="58">
        <f>SUM(G181:G187)</f>
        <v>0</v>
      </c>
      <c r="I181" s="59"/>
    </row>
    <row r="182" spans="1:9" x14ac:dyDescent="0.25">
      <c r="A182" s="55">
        <v>46203</v>
      </c>
      <c r="B182" s="56" t="s">
        <v>14</v>
      </c>
      <c r="C182" s="62">
        <v>0</v>
      </c>
      <c r="D182" s="62">
        <v>0</v>
      </c>
      <c r="E182" s="62">
        <v>0</v>
      </c>
      <c r="F182" s="62">
        <v>0</v>
      </c>
      <c r="G182" s="57">
        <f t="shared" si="2"/>
        <v>0</v>
      </c>
      <c r="H182" s="60"/>
      <c r="I182" s="59"/>
    </row>
    <row r="183" spans="1:9" x14ac:dyDescent="0.25">
      <c r="A183" s="55">
        <v>46204</v>
      </c>
      <c r="B183" s="56" t="s">
        <v>14</v>
      </c>
      <c r="C183" s="62">
        <v>0</v>
      </c>
      <c r="D183" s="62">
        <v>0</v>
      </c>
      <c r="E183" s="62">
        <v>0</v>
      </c>
      <c r="F183" s="62">
        <v>0</v>
      </c>
      <c r="G183" s="57">
        <f t="shared" si="2"/>
        <v>0</v>
      </c>
      <c r="H183" s="60"/>
      <c r="I183" s="59"/>
    </row>
    <row r="184" spans="1:9" x14ac:dyDescent="0.25">
      <c r="A184" s="55">
        <v>46205</v>
      </c>
      <c r="B184" s="56" t="s">
        <v>14</v>
      </c>
      <c r="C184" s="62">
        <v>0</v>
      </c>
      <c r="D184" s="62">
        <v>0</v>
      </c>
      <c r="E184" s="62">
        <v>0</v>
      </c>
      <c r="F184" s="62">
        <v>0</v>
      </c>
      <c r="G184" s="57">
        <f t="shared" si="2"/>
        <v>0</v>
      </c>
      <c r="H184" s="60"/>
      <c r="I184" s="59"/>
    </row>
    <row r="185" spans="1:9" x14ac:dyDescent="0.25">
      <c r="A185" s="55">
        <v>46206</v>
      </c>
      <c r="B185" s="56" t="s">
        <v>14</v>
      </c>
      <c r="C185" s="62">
        <v>0</v>
      </c>
      <c r="D185" s="62">
        <v>0</v>
      </c>
      <c r="E185" s="62">
        <v>0</v>
      </c>
      <c r="F185" s="62">
        <v>0</v>
      </c>
      <c r="G185" s="57">
        <f t="shared" si="2"/>
        <v>0</v>
      </c>
      <c r="H185" s="60"/>
      <c r="I185" s="59"/>
    </row>
    <row r="186" spans="1:9" x14ac:dyDescent="0.25">
      <c r="A186" s="55">
        <v>46207</v>
      </c>
      <c r="B186" s="56" t="s">
        <v>14</v>
      </c>
      <c r="C186" s="62">
        <v>0</v>
      </c>
      <c r="D186" s="62">
        <v>0</v>
      </c>
      <c r="E186" s="62">
        <v>0</v>
      </c>
      <c r="F186" s="62">
        <v>0</v>
      </c>
      <c r="G186" s="57">
        <f t="shared" si="2"/>
        <v>0</v>
      </c>
      <c r="H186" s="60"/>
      <c r="I186" s="59"/>
    </row>
    <row r="187" spans="1:9" x14ac:dyDescent="0.25">
      <c r="A187" s="55">
        <v>46208</v>
      </c>
      <c r="B187" s="56" t="s">
        <v>14</v>
      </c>
      <c r="C187" s="62">
        <v>0</v>
      </c>
      <c r="D187" s="62">
        <v>0</v>
      </c>
      <c r="E187" s="62">
        <v>0</v>
      </c>
      <c r="F187" s="62">
        <v>0</v>
      </c>
      <c r="G187" s="57">
        <f t="shared" si="2"/>
        <v>0</v>
      </c>
      <c r="H187" s="61"/>
      <c r="I187" s="59"/>
    </row>
    <row r="188" spans="1:9" x14ac:dyDescent="0.25">
      <c r="A188" s="55">
        <v>46209</v>
      </c>
      <c r="B188" s="56" t="s">
        <v>14</v>
      </c>
      <c r="C188" s="62">
        <v>0</v>
      </c>
      <c r="D188" s="62">
        <v>0</v>
      </c>
      <c r="E188" s="62">
        <v>0</v>
      </c>
      <c r="F188" s="62">
        <v>0</v>
      </c>
      <c r="G188" s="57">
        <f t="shared" si="2"/>
        <v>0</v>
      </c>
      <c r="H188" s="58">
        <f>SUM(G188:G194)</f>
        <v>0</v>
      </c>
      <c r="I188" s="59"/>
    </row>
    <row r="189" spans="1:9" x14ac:dyDescent="0.25">
      <c r="A189" s="55">
        <v>46210</v>
      </c>
      <c r="B189" s="56" t="s">
        <v>14</v>
      </c>
      <c r="C189" s="62">
        <v>0</v>
      </c>
      <c r="D189" s="62">
        <v>0</v>
      </c>
      <c r="E189" s="62">
        <v>0</v>
      </c>
      <c r="F189" s="62">
        <v>0</v>
      </c>
      <c r="G189" s="57">
        <f t="shared" si="2"/>
        <v>0</v>
      </c>
      <c r="H189" s="60"/>
      <c r="I189" s="59"/>
    </row>
    <row r="190" spans="1:9" x14ac:dyDescent="0.25">
      <c r="A190" s="55">
        <v>46211</v>
      </c>
      <c r="B190" s="56" t="s">
        <v>14</v>
      </c>
      <c r="C190" s="62">
        <v>0</v>
      </c>
      <c r="D190" s="62">
        <v>0</v>
      </c>
      <c r="E190" s="62">
        <v>0</v>
      </c>
      <c r="F190" s="62">
        <v>0</v>
      </c>
      <c r="G190" s="57">
        <f t="shared" si="2"/>
        <v>0</v>
      </c>
      <c r="H190" s="60"/>
      <c r="I190" s="59"/>
    </row>
    <row r="191" spans="1:9" x14ac:dyDescent="0.25">
      <c r="A191" s="55">
        <v>46212</v>
      </c>
      <c r="B191" s="56" t="s">
        <v>14</v>
      </c>
      <c r="C191" s="62">
        <v>0</v>
      </c>
      <c r="D191" s="62">
        <v>0</v>
      </c>
      <c r="E191" s="62">
        <v>0</v>
      </c>
      <c r="F191" s="62">
        <v>0</v>
      </c>
      <c r="G191" s="57">
        <f t="shared" si="2"/>
        <v>0</v>
      </c>
      <c r="H191" s="60"/>
      <c r="I191" s="59"/>
    </row>
    <row r="192" spans="1:9" x14ac:dyDescent="0.25">
      <c r="A192" s="55">
        <v>46213</v>
      </c>
      <c r="B192" s="56" t="s">
        <v>14</v>
      </c>
      <c r="C192" s="62">
        <v>0</v>
      </c>
      <c r="D192" s="62">
        <v>0</v>
      </c>
      <c r="E192" s="62">
        <v>0</v>
      </c>
      <c r="F192" s="62">
        <v>0</v>
      </c>
      <c r="G192" s="57">
        <f t="shared" si="2"/>
        <v>0</v>
      </c>
      <c r="H192" s="60"/>
      <c r="I192" s="59"/>
    </row>
    <row r="193" spans="1:9" x14ac:dyDescent="0.25">
      <c r="A193" s="55">
        <v>46214</v>
      </c>
      <c r="B193" s="56" t="s">
        <v>14</v>
      </c>
      <c r="C193" s="62">
        <v>0</v>
      </c>
      <c r="D193" s="62">
        <v>0</v>
      </c>
      <c r="E193" s="62">
        <v>0</v>
      </c>
      <c r="F193" s="62">
        <v>0</v>
      </c>
      <c r="G193" s="57">
        <f t="shared" si="2"/>
        <v>0</v>
      </c>
      <c r="H193" s="60"/>
      <c r="I193" s="59"/>
    </row>
    <row r="194" spans="1:9" x14ac:dyDescent="0.25">
      <c r="A194" s="55">
        <v>46215</v>
      </c>
      <c r="B194" s="56" t="s">
        <v>14</v>
      </c>
      <c r="C194" s="62">
        <v>0</v>
      </c>
      <c r="D194" s="62">
        <v>0</v>
      </c>
      <c r="E194" s="62">
        <v>0</v>
      </c>
      <c r="F194" s="62">
        <v>0</v>
      </c>
      <c r="G194" s="57">
        <f t="shared" si="2"/>
        <v>0</v>
      </c>
      <c r="H194" s="61"/>
      <c r="I194" s="59"/>
    </row>
    <row r="195" spans="1:9" x14ac:dyDescent="0.25">
      <c r="A195" s="55">
        <v>46216</v>
      </c>
      <c r="B195" s="56" t="s">
        <v>14</v>
      </c>
      <c r="C195" s="62">
        <v>0</v>
      </c>
      <c r="D195" s="62">
        <v>0</v>
      </c>
      <c r="E195" s="62">
        <v>0</v>
      </c>
      <c r="F195" s="62">
        <v>0</v>
      </c>
      <c r="G195" s="57">
        <f t="shared" ref="G195:G258" si="3">SUM(F195,E195,C195-D195)</f>
        <v>0</v>
      </c>
      <c r="H195" s="58">
        <f>SUM(G195:G201)</f>
        <v>0</v>
      </c>
      <c r="I195" s="59"/>
    </row>
    <row r="196" spans="1:9" x14ac:dyDescent="0.25">
      <c r="A196" s="55">
        <v>46217</v>
      </c>
      <c r="B196" s="56" t="s">
        <v>14</v>
      </c>
      <c r="C196" s="62">
        <v>0</v>
      </c>
      <c r="D196" s="62">
        <v>0</v>
      </c>
      <c r="E196" s="62">
        <v>0</v>
      </c>
      <c r="F196" s="62">
        <v>0</v>
      </c>
      <c r="G196" s="57">
        <f t="shared" si="3"/>
        <v>0</v>
      </c>
      <c r="H196" s="60"/>
      <c r="I196" s="59"/>
    </row>
    <row r="197" spans="1:9" x14ac:dyDescent="0.25">
      <c r="A197" s="55">
        <v>46218</v>
      </c>
      <c r="B197" s="56" t="s">
        <v>14</v>
      </c>
      <c r="C197" s="62">
        <v>0</v>
      </c>
      <c r="D197" s="62">
        <v>0</v>
      </c>
      <c r="E197" s="62">
        <v>0</v>
      </c>
      <c r="F197" s="62">
        <v>0</v>
      </c>
      <c r="G197" s="57">
        <f t="shared" si="3"/>
        <v>0</v>
      </c>
      <c r="H197" s="60"/>
      <c r="I197" s="59"/>
    </row>
    <row r="198" spans="1:9" x14ac:dyDescent="0.25">
      <c r="A198" s="55">
        <v>46219</v>
      </c>
      <c r="B198" s="56" t="s">
        <v>14</v>
      </c>
      <c r="C198" s="62">
        <v>0</v>
      </c>
      <c r="D198" s="62">
        <v>0</v>
      </c>
      <c r="E198" s="62">
        <v>0</v>
      </c>
      <c r="F198" s="62">
        <v>0</v>
      </c>
      <c r="G198" s="57">
        <f t="shared" si="3"/>
        <v>0</v>
      </c>
      <c r="H198" s="60"/>
      <c r="I198" s="59"/>
    </row>
    <row r="199" spans="1:9" x14ac:dyDescent="0.25">
      <c r="A199" s="55">
        <v>46220</v>
      </c>
      <c r="B199" s="56" t="s">
        <v>14</v>
      </c>
      <c r="C199" s="62">
        <v>0</v>
      </c>
      <c r="D199" s="62">
        <v>0</v>
      </c>
      <c r="E199" s="62">
        <v>0</v>
      </c>
      <c r="F199" s="62">
        <v>0</v>
      </c>
      <c r="G199" s="57">
        <f t="shared" si="3"/>
        <v>0</v>
      </c>
      <c r="H199" s="60"/>
      <c r="I199" s="59"/>
    </row>
    <row r="200" spans="1:9" x14ac:dyDescent="0.25">
      <c r="A200" s="55">
        <v>46221</v>
      </c>
      <c r="B200" s="56" t="s">
        <v>14</v>
      </c>
      <c r="C200" s="62">
        <v>0</v>
      </c>
      <c r="D200" s="62">
        <v>0</v>
      </c>
      <c r="E200" s="62">
        <v>0</v>
      </c>
      <c r="F200" s="62">
        <v>0</v>
      </c>
      <c r="G200" s="57">
        <f t="shared" si="3"/>
        <v>0</v>
      </c>
      <c r="H200" s="60"/>
      <c r="I200" s="59"/>
    </row>
    <row r="201" spans="1:9" x14ac:dyDescent="0.25">
      <c r="A201" s="55">
        <v>46222</v>
      </c>
      <c r="B201" s="56" t="s">
        <v>14</v>
      </c>
      <c r="C201" s="62">
        <v>0</v>
      </c>
      <c r="D201" s="62">
        <v>0</v>
      </c>
      <c r="E201" s="62">
        <v>0</v>
      </c>
      <c r="F201" s="62">
        <v>0</v>
      </c>
      <c r="G201" s="57">
        <f t="shared" si="3"/>
        <v>0</v>
      </c>
      <c r="H201" s="61"/>
      <c r="I201" s="59"/>
    </row>
    <row r="202" spans="1:9" x14ac:dyDescent="0.25">
      <c r="A202" s="55">
        <v>46223</v>
      </c>
      <c r="B202" s="56" t="s">
        <v>14</v>
      </c>
      <c r="C202" s="62">
        <v>0</v>
      </c>
      <c r="D202" s="62">
        <v>0</v>
      </c>
      <c r="E202" s="62">
        <v>0</v>
      </c>
      <c r="F202" s="62">
        <v>0</v>
      </c>
      <c r="G202" s="57">
        <f t="shared" si="3"/>
        <v>0</v>
      </c>
      <c r="H202" s="58">
        <f>SUM(G202:G208)</f>
        <v>0</v>
      </c>
      <c r="I202" s="59"/>
    </row>
    <row r="203" spans="1:9" x14ac:dyDescent="0.25">
      <c r="A203" s="55">
        <v>46224</v>
      </c>
      <c r="B203" s="56" t="s">
        <v>14</v>
      </c>
      <c r="C203" s="62">
        <v>0</v>
      </c>
      <c r="D203" s="62">
        <v>0</v>
      </c>
      <c r="E203" s="62">
        <v>0</v>
      </c>
      <c r="F203" s="62">
        <v>0</v>
      </c>
      <c r="G203" s="57">
        <f t="shared" si="3"/>
        <v>0</v>
      </c>
      <c r="H203" s="60"/>
      <c r="I203" s="59"/>
    </row>
    <row r="204" spans="1:9" x14ac:dyDescent="0.25">
      <c r="A204" s="55">
        <v>46225</v>
      </c>
      <c r="B204" s="56" t="s">
        <v>14</v>
      </c>
      <c r="C204" s="62">
        <v>0</v>
      </c>
      <c r="D204" s="62">
        <v>0</v>
      </c>
      <c r="E204" s="62">
        <v>0</v>
      </c>
      <c r="F204" s="62">
        <v>0</v>
      </c>
      <c r="G204" s="57">
        <f t="shared" si="3"/>
        <v>0</v>
      </c>
      <c r="H204" s="60"/>
      <c r="I204" s="59"/>
    </row>
    <row r="205" spans="1:9" x14ac:dyDescent="0.25">
      <c r="A205" s="55">
        <v>46226</v>
      </c>
      <c r="B205" s="56" t="s">
        <v>14</v>
      </c>
      <c r="C205" s="62">
        <v>0</v>
      </c>
      <c r="D205" s="62">
        <v>0</v>
      </c>
      <c r="E205" s="62">
        <v>0</v>
      </c>
      <c r="F205" s="62">
        <v>0</v>
      </c>
      <c r="G205" s="57">
        <f t="shared" si="3"/>
        <v>0</v>
      </c>
      <c r="H205" s="60"/>
      <c r="I205" s="59"/>
    </row>
    <row r="206" spans="1:9" x14ac:dyDescent="0.25">
      <c r="A206" s="55">
        <v>46227</v>
      </c>
      <c r="B206" s="56" t="s">
        <v>14</v>
      </c>
      <c r="C206" s="62">
        <v>0</v>
      </c>
      <c r="D206" s="62">
        <v>0</v>
      </c>
      <c r="E206" s="62">
        <v>0</v>
      </c>
      <c r="F206" s="62">
        <v>0</v>
      </c>
      <c r="G206" s="57">
        <f t="shared" si="3"/>
        <v>0</v>
      </c>
      <c r="H206" s="60"/>
      <c r="I206" s="59"/>
    </row>
    <row r="207" spans="1:9" x14ac:dyDescent="0.25">
      <c r="A207" s="55">
        <v>46228</v>
      </c>
      <c r="B207" s="56" t="s">
        <v>14</v>
      </c>
      <c r="C207" s="62">
        <v>0</v>
      </c>
      <c r="D207" s="62">
        <v>0</v>
      </c>
      <c r="E207" s="62">
        <v>0</v>
      </c>
      <c r="F207" s="62">
        <v>0</v>
      </c>
      <c r="G207" s="57">
        <f t="shared" si="3"/>
        <v>0</v>
      </c>
      <c r="H207" s="60"/>
      <c r="I207" s="59"/>
    </row>
    <row r="208" spans="1:9" x14ac:dyDescent="0.25">
      <c r="A208" s="55">
        <v>46229</v>
      </c>
      <c r="B208" s="56" t="s">
        <v>14</v>
      </c>
      <c r="C208" s="62">
        <v>0</v>
      </c>
      <c r="D208" s="62">
        <v>0</v>
      </c>
      <c r="E208" s="62">
        <v>0</v>
      </c>
      <c r="F208" s="62">
        <v>0</v>
      </c>
      <c r="G208" s="57">
        <f t="shared" si="3"/>
        <v>0</v>
      </c>
      <c r="H208" s="61"/>
      <c r="I208" s="59"/>
    </row>
    <row r="209" spans="1:9" x14ac:dyDescent="0.25">
      <c r="A209" s="55">
        <v>46230</v>
      </c>
      <c r="B209" s="56" t="s">
        <v>14</v>
      </c>
      <c r="C209" s="62">
        <v>0</v>
      </c>
      <c r="D209" s="62">
        <v>0</v>
      </c>
      <c r="E209" s="62">
        <v>0</v>
      </c>
      <c r="F209" s="62">
        <v>0</v>
      </c>
      <c r="G209" s="57">
        <f t="shared" si="3"/>
        <v>0</v>
      </c>
      <c r="H209" s="58">
        <f>SUM(G209:G215)</f>
        <v>0</v>
      </c>
      <c r="I209" s="59"/>
    </row>
    <row r="210" spans="1:9" x14ac:dyDescent="0.25">
      <c r="A210" s="55">
        <v>46231</v>
      </c>
      <c r="B210" s="56" t="s">
        <v>14</v>
      </c>
      <c r="C210" s="62">
        <v>0</v>
      </c>
      <c r="D210" s="62">
        <v>0</v>
      </c>
      <c r="E210" s="62">
        <v>0</v>
      </c>
      <c r="F210" s="62">
        <v>0</v>
      </c>
      <c r="G210" s="57">
        <f t="shared" si="3"/>
        <v>0</v>
      </c>
      <c r="H210" s="60"/>
      <c r="I210" s="59"/>
    </row>
    <row r="211" spans="1:9" x14ac:dyDescent="0.25">
      <c r="A211" s="55">
        <v>46232</v>
      </c>
      <c r="B211" s="56" t="s">
        <v>14</v>
      </c>
      <c r="C211" s="62">
        <v>0</v>
      </c>
      <c r="D211" s="62">
        <v>0</v>
      </c>
      <c r="E211" s="62">
        <v>0</v>
      </c>
      <c r="F211" s="62">
        <v>0</v>
      </c>
      <c r="G211" s="57">
        <f t="shared" si="3"/>
        <v>0</v>
      </c>
      <c r="H211" s="60"/>
      <c r="I211" s="59"/>
    </row>
    <row r="212" spans="1:9" x14ac:dyDescent="0.25">
      <c r="A212" s="55">
        <v>46233</v>
      </c>
      <c r="B212" s="56" t="s">
        <v>14</v>
      </c>
      <c r="C212" s="62">
        <v>0</v>
      </c>
      <c r="D212" s="62">
        <v>0</v>
      </c>
      <c r="E212" s="62">
        <v>0</v>
      </c>
      <c r="F212" s="62">
        <v>0</v>
      </c>
      <c r="G212" s="57">
        <f t="shared" si="3"/>
        <v>0</v>
      </c>
      <c r="H212" s="60"/>
      <c r="I212" s="59"/>
    </row>
    <row r="213" spans="1:9" x14ac:dyDescent="0.25">
      <c r="A213" s="55">
        <v>46234</v>
      </c>
      <c r="B213" s="56" t="s">
        <v>14</v>
      </c>
      <c r="C213" s="62">
        <v>0</v>
      </c>
      <c r="D213" s="62">
        <v>0</v>
      </c>
      <c r="E213" s="62">
        <v>0</v>
      </c>
      <c r="F213" s="62">
        <v>0</v>
      </c>
      <c r="G213" s="57">
        <f t="shared" si="3"/>
        <v>0</v>
      </c>
      <c r="H213" s="60"/>
      <c r="I213" s="59"/>
    </row>
    <row r="214" spans="1:9" x14ac:dyDescent="0.25">
      <c r="A214" s="55">
        <v>46235</v>
      </c>
      <c r="B214" s="56" t="s">
        <v>14</v>
      </c>
      <c r="C214" s="62">
        <v>0</v>
      </c>
      <c r="D214" s="62">
        <v>0</v>
      </c>
      <c r="E214" s="62">
        <v>0</v>
      </c>
      <c r="F214" s="62">
        <v>0</v>
      </c>
      <c r="G214" s="57">
        <f t="shared" si="3"/>
        <v>0</v>
      </c>
      <c r="H214" s="60"/>
      <c r="I214" s="59"/>
    </row>
    <row r="215" spans="1:9" x14ac:dyDescent="0.25">
      <c r="A215" s="55">
        <v>46236</v>
      </c>
      <c r="B215" s="56" t="s">
        <v>14</v>
      </c>
      <c r="C215" s="62">
        <v>0</v>
      </c>
      <c r="D215" s="62">
        <v>0</v>
      </c>
      <c r="E215" s="62">
        <v>0</v>
      </c>
      <c r="F215" s="62">
        <v>0</v>
      </c>
      <c r="G215" s="57">
        <f t="shared" si="3"/>
        <v>0</v>
      </c>
      <c r="H215" s="61"/>
      <c r="I215" s="59"/>
    </row>
    <row r="216" spans="1:9" x14ac:dyDescent="0.25">
      <c r="A216" s="55">
        <v>46237</v>
      </c>
      <c r="B216" s="56" t="s">
        <v>14</v>
      </c>
      <c r="C216" s="62">
        <v>0</v>
      </c>
      <c r="D216" s="62">
        <v>0</v>
      </c>
      <c r="E216" s="62">
        <v>0</v>
      </c>
      <c r="F216" s="62">
        <v>0</v>
      </c>
      <c r="G216" s="57">
        <f t="shared" si="3"/>
        <v>0</v>
      </c>
      <c r="H216" s="58">
        <f>SUM(G216:G222)</f>
        <v>0</v>
      </c>
      <c r="I216" s="59"/>
    </row>
    <row r="217" spans="1:9" x14ac:dyDescent="0.25">
      <c r="A217" s="55">
        <v>46238</v>
      </c>
      <c r="B217" s="56" t="s">
        <v>14</v>
      </c>
      <c r="C217" s="62">
        <v>0</v>
      </c>
      <c r="D217" s="62">
        <v>0</v>
      </c>
      <c r="E217" s="62">
        <v>0</v>
      </c>
      <c r="F217" s="62">
        <v>0</v>
      </c>
      <c r="G217" s="57">
        <f t="shared" si="3"/>
        <v>0</v>
      </c>
      <c r="H217" s="60"/>
      <c r="I217" s="59"/>
    </row>
    <row r="218" spans="1:9" x14ac:dyDescent="0.25">
      <c r="A218" s="55">
        <v>46239</v>
      </c>
      <c r="B218" s="56" t="s">
        <v>14</v>
      </c>
      <c r="C218" s="62">
        <v>0</v>
      </c>
      <c r="D218" s="62">
        <v>0</v>
      </c>
      <c r="E218" s="62">
        <v>0</v>
      </c>
      <c r="F218" s="62">
        <v>0</v>
      </c>
      <c r="G218" s="57">
        <f t="shared" si="3"/>
        <v>0</v>
      </c>
      <c r="H218" s="60"/>
      <c r="I218" s="59"/>
    </row>
    <row r="219" spans="1:9" x14ac:dyDescent="0.25">
      <c r="A219" s="55">
        <v>46240</v>
      </c>
      <c r="B219" s="56" t="s">
        <v>14</v>
      </c>
      <c r="C219" s="62">
        <v>0</v>
      </c>
      <c r="D219" s="62">
        <v>0</v>
      </c>
      <c r="E219" s="62">
        <v>0</v>
      </c>
      <c r="F219" s="62">
        <v>0</v>
      </c>
      <c r="G219" s="57">
        <f t="shared" si="3"/>
        <v>0</v>
      </c>
      <c r="H219" s="60"/>
      <c r="I219" s="59"/>
    </row>
    <row r="220" spans="1:9" x14ac:dyDescent="0.25">
      <c r="A220" s="55">
        <v>46241</v>
      </c>
      <c r="B220" s="56" t="s">
        <v>14</v>
      </c>
      <c r="C220" s="62">
        <v>0</v>
      </c>
      <c r="D220" s="62">
        <v>0</v>
      </c>
      <c r="E220" s="62">
        <v>0</v>
      </c>
      <c r="F220" s="62">
        <v>0</v>
      </c>
      <c r="G220" s="57">
        <f t="shared" si="3"/>
        <v>0</v>
      </c>
      <c r="H220" s="60"/>
      <c r="I220" s="59"/>
    </row>
    <row r="221" spans="1:9" x14ac:dyDescent="0.25">
      <c r="A221" s="55">
        <v>46242</v>
      </c>
      <c r="B221" s="56" t="s">
        <v>14</v>
      </c>
      <c r="C221" s="62">
        <v>0</v>
      </c>
      <c r="D221" s="62">
        <v>0</v>
      </c>
      <c r="E221" s="62">
        <v>0</v>
      </c>
      <c r="F221" s="62">
        <v>0</v>
      </c>
      <c r="G221" s="57">
        <f t="shared" si="3"/>
        <v>0</v>
      </c>
      <c r="H221" s="60"/>
      <c r="I221" s="59"/>
    </row>
    <row r="222" spans="1:9" x14ac:dyDescent="0.25">
      <c r="A222" s="55">
        <v>46243</v>
      </c>
      <c r="B222" s="56" t="s">
        <v>14</v>
      </c>
      <c r="C222" s="62">
        <v>0</v>
      </c>
      <c r="D222" s="62">
        <v>0</v>
      </c>
      <c r="E222" s="62">
        <v>0</v>
      </c>
      <c r="F222" s="62">
        <v>0</v>
      </c>
      <c r="G222" s="57">
        <f t="shared" si="3"/>
        <v>0</v>
      </c>
      <c r="H222" s="61"/>
      <c r="I222" s="59"/>
    </row>
    <row r="223" spans="1:9" x14ac:dyDescent="0.25">
      <c r="A223" s="55">
        <v>46244</v>
      </c>
      <c r="B223" s="56" t="s">
        <v>14</v>
      </c>
      <c r="C223" s="62">
        <v>0</v>
      </c>
      <c r="D223" s="62">
        <v>0</v>
      </c>
      <c r="E223" s="62">
        <v>0</v>
      </c>
      <c r="F223" s="62">
        <v>0</v>
      </c>
      <c r="G223" s="57">
        <f t="shared" si="3"/>
        <v>0</v>
      </c>
      <c r="H223" s="58">
        <f>SUM(G223:G229)</f>
        <v>0</v>
      </c>
      <c r="I223" s="59"/>
    </row>
    <row r="224" spans="1:9" x14ac:dyDescent="0.25">
      <c r="A224" s="55">
        <v>46245</v>
      </c>
      <c r="B224" s="56" t="s">
        <v>14</v>
      </c>
      <c r="C224" s="62">
        <v>0</v>
      </c>
      <c r="D224" s="62">
        <v>0</v>
      </c>
      <c r="E224" s="62">
        <v>0</v>
      </c>
      <c r="F224" s="62">
        <v>0</v>
      </c>
      <c r="G224" s="57">
        <f t="shared" si="3"/>
        <v>0</v>
      </c>
      <c r="H224" s="60"/>
      <c r="I224" s="59"/>
    </row>
    <row r="225" spans="1:9" x14ac:dyDescent="0.25">
      <c r="A225" s="55">
        <v>46246</v>
      </c>
      <c r="B225" s="56" t="s">
        <v>14</v>
      </c>
      <c r="C225" s="62">
        <v>0</v>
      </c>
      <c r="D225" s="62">
        <v>0</v>
      </c>
      <c r="E225" s="62">
        <v>0</v>
      </c>
      <c r="F225" s="62">
        <v>0</v>
      </c>
      <c r="G225" s="57">
        <f t="shared" si="3"/>
        <v>0</v>
      </c>
      <c r="H225" s="60"/>
      <c r="I225" s="59"/>
    </row>
    <row r="226" spans="1:9" x14ac:dyDescent="0.25">
      <c r="A226" s="55">
        <v>46247</v>
      </c>
      <c r="B226" s="56" t="s">
        <v>14</v>
      </c>
      <c r="C226" s="62">
        <v>0</v>
      </c>
      <c r="D226" s="62">
        <v>0</v>
      </c>
      <c r="E226" s="62">
        <v>0</v>
      </c>
      <c r="F226" s="62">
        <v>0</v>
      </c>
      <c r="G226" s="57">
        <f t="shared" si="3"/>
        <v>0</v>
      </c>
      <c r="H226" s="60"/>
      <c r="I226" s="59"/>
    </row>
    <row r="227" spans="1:9" x14ac:dyDescent="0.25">
      <c r="A227" s="55">
        <v>46248</v>
      </c>
      <c r="B227" s="56" t="s">
        <v>14</v>
      </c>
      <c r="C227" s="62">
        <v>0</v>
      </c>
      <c r="D227" s="62">
        <v>0</v>
      </c>
      <c r="E227" s="62">
        <v>0</v>
      </c>
      <c r="F227" s="62">
        <v>0</v>
      </c>
      <c r="G227" s="57">
        <f t="shared" si="3"/>
        <v>0</v>
      </c>
      <c r="H227" s="60"/>
      <c r="I227" s="59"/>
    </row>
    <row r="228" spans="1:9" x14ac:dyDescent="0.25">
      <c r="A228" s="55">
        <v>46249</v>
      </c>
      <c r="B228" s="56" t="s">
        <v>14</v>
      </c>
      <c r="C228" s="62">
        <v>0</v>
      </c>
      <c r="D228" s="62">
        <v>0</v>
      </c>
      <c r="E228" s="62">
        <v>0</v>
      </c>
      <c r="F228" s="62">
        <v>0</v>
      </c>
      <c r="G228" s="57">
        <f t="shared" si="3"/>
        <v>0</v>
      </c>
      <c r="H228" s="60"/>
      <c r="I228" s="59"/>
    </row>
    <row r="229" spans="1:9" x14ac:dyDescent="0.25">
      <c r="A229" s="55">
        <v>46250</v>
      </c>
      <c r="B229" s="56" t="s">
        <v>14</v>
      </c>
      <c r="C229" s="62">
        <v>0</v>
      </c>
      <c r="D229" s="62">
        <v>0</v>
      </c>
      <c r="E229" s="62">
        <v>0</v>
      </c>
      <c r="F229" s="62">
        <v>0</v>
      </c>
      <c r="G229" s="57">
        <f t="shared" si="3"/>
        <v>0</v>
      </c>
      <c r="H229" s="61"/>
      <c r="I229" s="59"/>
    </row>
    <row r="230" spans="1:9" x14ac:dyDescent="0.25">
      <c r="A230" s="55">
        <v>46251</v>
      </c>
      <c r="B230" s="56" t="s">
        <v>14</v>
      </c>
      <c r="C230" s="62">
        <v>0</v>
      </c>
      <c r="D230" s="62">
        <v>0</v>
      </c>
      <c r="E230" s="62">
        <v>0</v>
      </c>
      <c r="F230" s="62">
        <v>0</v>
      </c>
      <c r="G230" s="57">
        <f t="shared" si="3"/>
        <v>0</v>
      </c>
      <c r="H230" s="58">
        <f>SUM(G230:G236)</f>
        <v>0</v>
      </c>
      <c r="I230" s="59"/>
    </row>
    <row r="231" spans="1:9" x14ac:dyDescent="0.25">
      <c r="A231" s="55">
        <v>46252</v>
      </c>
      <c r="B231" s="56" t="s">
        <v>14</v>
      </c>
      <c r="C231" s="62">
        <v>0</v>
      </c>
      <c r="D231" s="62">
        <v>0</v>
      </c>
      <c r="E231" s="62">
        <v>0</v>
      </c>
      <c r="F231" s="62">
        <v>0</v>
      </c>
      <c r="G231" s="57">
        <f t="shared" si="3"/>
        <v>0</v>
      </c>
      <c r="H231" s="60"/>
      <c r="I231" s="59"/>
    </row>
    <row r="232" spans="1:9" x14ac:dyDescent="0.25">
      <c r="A232" s="55">
        <v>46253</v>
      </c>
      <c r="B232" s="56" t="s">
        <v>14</v>
      </c>
      <c r="C232" s="62">
        <v>0</v>
      </c>
      <c r="D232" s="62">
        <v>0</v>
      </c>
      <c r="E232" s="62">
        <v>0</v>
      </c>
      <c r="F232" s="62">
        <v>0</v>
      </c>
      <c r="G232" s="57">
        <f t="shared" si="3"/>
        <v>0</v>
      </c>
      <c r="H232" s="60"/>
      <c r="I232" s="59"/>
    </row>
    <row r="233" spans="1:9" x14ac:dyDescent="0.25">
      <c r="A233" s="55">
        <v>46254</v>
      </c>
      <c r="B233" s="56" t="s">
        <v>14</v>
      </c>
      <c r="C233" s="62">
        <v>0</v>
      </c>
      <c r="D233" s="62">
        <v>0</v>
      </c>
      <c r="E233" s="62">
        <v>0</v>
      </c>
      <c r="F233" s="62">
        <v>0</v>
      </c>
      <c r="G233" s="57">
        <f t="shared" si="3"/>
        <v>0</v>
      </c>
      <c r="H233" s="60"/>
      <c r="I233" s="59"/>
    </row>
    <row r="234" spans="1:9" x14ac:dyDescent="0.25">
      <c r="A234" s="55">
        <v>46255</v>
      </c>
      <c r="B234" s="56" t="s">
        <v>14</v>
      </c>
      <c r="C234" s="62">
        <v>0</v>
      </c>
      <c r="D234" s="62">
        <v>0</v>
      </c>
      <c r="E234" s="62">
        <v>0</v>
      </c>
      <c r="F234" s="62">
        <v>0</v>
      </c>
      <c r="G234" s="57">
        <f t="shared" si="3"/>
        <v>0</v>
      </c>
      <c r="H234" s="60"/>
      <c r="I234" s="59"/>
    </row>
    <row r="235" spans="1:9" x14ac:dyDescent="0.25">
      <c r="A235" s="55">
        <v>46256</v>
      </c>
      <c r="B235" s="56" t="s">
        <v>14</v>
      </c>
      <c r="C235" s="62">
        <v>0</v>
      </c>
      <c r="D235" s="62">
        <v>0</v>
      </c>
      <c r="E235" s="62">
        <v>0</v>
      </c>
      <c r="F235" s="62">
        <v>0</v>
      </c>
      <c r="G235" s="57">
        <f t="shared" si="3"/>
        <v>0</v>
      </c>
      <c r="H235" s="60"/>
      <c r="I235" s="59"/>
    </row>
    <row r="236" spans="1:9" x14ac:dyDescent="0.25">
      <c r="A236" s="55">
        <v>46257</v>
      </c>
      <c r="B236" s="56" t="s">
        <v>14</v>
      </c>
      <c r="C236" s="62">
        <v>0</v>
      </c>
      <c r="D236" s="62">
        <v>0</v>
      </c>
      <c r="E236" s="62">
        <v>0</v>
      </c>
      <c r="F236" s="62">
        <v>0</v>
      </c>
      <c r="G236" s="57">
        <f t="shared" si="3"/>
        <v>0</v>
      </c>
      <c r="H236" s="61"/>
      <c r="I236" s="59"/>
    </row>
    <row r="237" spans="1:9" x14ac:dyDescent="0.25">
      <c r="A237" s="55">
        <v>46258</v>
      </c>
      <c r="B237" s="56" t="s">
        <v>14</v>
      </c>
      <c r="C237" s="62">
        <v>0</v>
      </c>
      <c r="D237" s="62">
        <v>0</v>
      </c>
      <c r="E237" s="62">
        <v>0</v>
      </c>
      <c r="F237" s="62">
        <v>0</v>
      </c>
      <c r="G237" s="57">
        <f t="shared" si="3"/>
        <v>0</v>
      </c>
      <c r="H237" s="58">
        <f>SUM(G237:G243)</f>
        <v>0</v>
      </c>
      <c r="I237" s="59"/>
    </row>
    <row r="238" spans="1:9" x14ac:dyDescent="0.25">
      <c r="A238" s="55">
        <v>46259</v>
      </c>
      <c r="B238" s="56" t="s">
        <v>14</v>
      </c>
      <c r="C238" s="62">
        <v>0</v>
      </c>
      <c r="D238" s="62">
        <v>0</v>
      </c>
      <c r="E238" s="62">
        <v>0</v>
      </c>
      <c r="F238" s="62">
        <v>0</v>
      </c>
      <c r="G238" s="57">
        <f t="shared" si="3"/>
        <v>0</v>
      </c>
      <c r="H238" s="60"/>
      <c r="I238" s="59"/>
    </row>
    <row r="239" spans="1:9" x14ac:dyDescent="0.25">
      <c r="A239" s="55">
        <v>46260</v>
      </c>
      <c r="B239" s="56" t="s">
        <v>14</v>
      </c>
      <c r="C239" s="62">
        <v>0</v>
      </c>
      <c r="D239" s="62">
        <v>0</v>
      </c>
      <c r="E239" s="62">
        <v>0</v>
      </c>
      <c r="F239" s="62">
        <v>0</v>
      </c>
      <c r="G239" s="57">
        <f t="shared" si="3"/>
        <v>0</v>
      </c>
      <c r="H239" s="60"/>
      <c r="I239" s="59"/>
    </row>
    <row r="240" spans="1:9" x14ac:dyDescent="0.25">
      <c r="A240" s="55">
        <v>46261</v>
      </c>
      <c r="B240" s="56" t="s">
        <v>14</v>
      </c>
      <c r="C240" s="62">
        <v>0</v>
      </c>
      <c r="D240" s="62">
        <v>0</v>
      </c>
      <c r="E240" s="62">
        <v>0</v>
      </c>
      <c r="F240" s="62">
        <v>0</v>
      </c>
      <c r="G240" s="57">
        <f t="shared" si="3"/>
        <v>0</v>
      </c>
      <c r="H240" s="60"/>
      <c r="I240" s="59"/>
    </row>
    <row r="241" spans="1:9" x14ac:dyDescent="0.25">
      <c r="A241" s="55">
        <v>46262</v>
      </c>
      <c r="B241" s="56" t="s">
        <v>14</v>
      </c>
      <c r="C241" s="62">
        <v>0</v>
      </c>
      <c r="D241" s="62">
        <v>0</v>
      </c>
      <c r="E241" s="62">
        <v>0</v>
      </c>
      <c r="F241" s="62">
        <v>0</v>
      </c>
      <c r="G241" s="57">
        <f t="shared" si="3"/>
        <v>0</v>
      </c>
      <c r="H241" s="60"/>
      <c r="I241" s="59"/>
    </row>
    <row r="242" spans="1:9" x14ac:dyDescent="0.25">
      <c r="A242" s="55">
        <v>46263</v>
      </c>
      <c r="B242" s="56" t="s">
        <v>14</v>
      </c>
      <c r="C242" s="62">
        <v>0</v>
      </c>
      <c r="D242" s="62">
        <v>0</v>
      </c>
      <c r="E242" s="62">
        <v>0</v>
      </c>
      <c r="F242" s="62">
        <v>0</v>
      </c>
      <c r="G242" s="57">
        <f t="shared" si="3"/>
        <v>0</v>
      </c>
      <c r="H242" s="60"/>
      <c r="I242" s="59"/>
    </row>
    <row r="243" spans="1:9" x14ac:dyDescent="0.25">
      <c r="A243" s="55">
        <v>46264</v>
      </c>
      <c r="B243" s="56" t="s">
        <v>14</v>
      </c>
      <c r="C243" s="62">
        <v>0</v>
      </c>
      <c r="D243" s="62">
        <v>0</v>
      </c>
      <c r="E243" s="62">
        <v>0</v>
      </c>
      <c r="F243" s="62">
        <v>0</v>
      </c>
      <c r="G243" s="57">
        <f t="shared" si="3"/>
        <v>0</v>
      </c>
      <c r="H243" s="61"/>
      <c r="I243" s="59"/>
    </row>
    <row r="244" spans="1:9" x14ac:dyDescent="0.25">
      <c r="A244" s="55">
        <v>46265</v>
      </c>
      <c r="B244" s="56" t="s">
        <v>14</v>
      </c>
      <c r="C244" s="62">
        <v>0</v>
      </c>
      <c r="D244" s="62">
        <v>0</v>
      </c>
      <c r="E244" s="62">
        <v>0</v>
      </c>
      <c r="F244" s="62">
        <v>0</v>
      </c>
      <c r="G244" s="57">
        <f t="shared" si="3"/>
        <v>0</v>
      </c>
      <c r="H244" s="58">
        <f>SUM(G244:G250)</f>
        <v>0</v>
      </c>
      <c r="I244" s="59"/>
    </row>
    <row r="245" spans="1:9" x14ac:dyDescent="0.25">
      <c r="A245" s="55">
        <v>46266</v>
      </c>
      <c r="B245" s="56" t="s">
        <v>14</v>
      </c>
      <c r="C245" s="62">
        <v>0</v>
      </c>
      <c r="D245" s="62">
        <v>0</v>
      </c>
      <c r="E245" s="62">
        <v>0</v>
      </c>
      <c r="F245" s="62">
        <v>0</v>
      </c>
      <c r="G245" s="57">
        <f t="shared" si="3"/>
        <v>0</v>
      </c>
      <c r="H245" s="60"/>
      <c r="I245" s="59"/>
    </row>
    <row r="246" spans="1:9" x14ac:dyDescent="0.25">
      <c r="A246" s="55">
        <v>46267</v>
      </c>
      <c r="B246" s="56" t="s">
        <v>14</v>
      </c>
      <c r="C246" s="62">
        <v>0</v>
      </c>
      <c r="D246" s="62">
        <v>0</v>
      </c>
      <c r="E246" s="62">
        <v>0</v>
      </c>
      <c r="F246" s="62">
        <v>0</v>
      </c>
      <c r="G246" s="57">
        <f t="shared" si="3"/>
        <v>0</v>
      </c>
      <c r="H246" s="60"/>
      <c r="I246" s="59"/>
    </row>
    <row r="247" spans="1:9" x14ac:dyDescent="0.25">
      <c r="A247" s="55">
        <v>46268</v>
      </c>
      <c r="B247" s="56" t="s">
        <v>14</v>
      </c>
      <c r="C247" s="62">
        <v>0</v>
      </c>
      <c r="D247" s="62">
        <v>0</v>
      </c>
      <c r="E247" s="62">
        <v>0</v>
      </c>
      <c r="F247" s="62">
        <v>0</v>
      </c>
      <c r="G247" s="57">
        <f t="shared" si="3"/>
        <v>0</v>
      </c>
      <c r="H247" s="60"/>
      <c r="I247" s="59"/>
    </row>
    <row r="248" spans="1:9" x14ac:dyDescent="0.25">
      <c r="A248" s="55">
        <v>46269</v>
      </c>
      <c r="B248" s="56" t="s">
        <v>14</v>
      </c>
      <c r="C248" s="62">
        <v>0</v>
      </c>
      <c r="D248" s="62">
        <v>0</v>
      </c>
      <c r="E248" s="62">
        <v>0</v>
      </c>
      <c r="F248" s="62">
        <v>0</v>
      </c>
      <c r="G248" s="57">
        <f t="shared" si="3"/>
        <v>0</v>
      </c>
      <c r="H248" s="60"/>
      <c r="I248" s="59"/>
    </row>
    <row r="249" spans="1:9" x14ac:dyDescent="0.25">
      <c r="A249" s="55">
        <v>46270</v>
      </c>
      <c r="B249" s="56" t="s">
        <v>14</v>
      </c>
      <c r="C249" s="62">
        <v>0</v>
      </c>
      <c r="D249" s="62">
        <v>0</v>
      </c>
      <c r="E249" s="62">
        <v>0</v>
      </c>
      <c r="F249" s="62">
        <v>0</v>
      </c>
      <c r="G249" s="57">
        <f t="shared" si="3"/>
        <v>0</v>
      </c>
      <c r="H249" s="60"/>
      <c r="I249" s="59"/>
    </row>
    <row r="250" spans="1:9" x14ac:dyDescent="0.25">
      <c r="A250" s="55">
        <v>46271</v>
      </c>
      <c r="B250" s="56" t="s">
        <v>14</v>
      </c>
      <c r="C250" s="62">
        <v>0</v>
      </c>
      <c r="D250" s="62">
        <v>0</v>
      </c>
      <c r="E250" s="62">
        <v>0</v>
      </c>
      <c r="F250" s="62">
        <v>0</v>
      </c>
      <c r="G250" s="57">
        <f t="shared" si="3"/>
        <v>0</v>
      </c>
      <c r="H250" s="61"/>
      <c r="I250" s="59"/>
    </row>
    <row r="251" spans="1:9" x14ac:dyDescent="0.25">
      <c r="A251" s="55">
        <v>46272</v>
      </c>
      <c r="B251" s="56" t="s">
        <v>14</v>
      </c>
      <c r="C251" s="62">
        <v>0</v>
      </c>
      <c r="D251" s="62">
        <v>0</v>
      </c>
      <c r="E251" s="62">
        <v>0</v>
      </c>
      <c r="F251" s="62">
        <v>0</v>
      </c>
      <c r="G251" s="57">
        <f t="shared" si="3"/>
        <v>0</v>
      </c>
      <c r="H251" s="58">
        <f>SUM(G251:G257)</f>
        <v>0</v>
      </c>
      <c r="I251" s="59"/>
    </row>
    <row r="252" spans="1:9" x14ac:dyDescent="0.25">
      <c r="A252" s="55">
        <v>46273</v>
      </c>
      <c r="B252" s="56" t="s">
        <v>14</v>
      </c>
      <c r="C252" s="62">
        <v>0</v>
      </c>
      <c r="D252" s="62">
        <v>0</v>
      </c>
      <c r="E252" s="62">
        <v>0</v>
      </c>
      <c r="F252" s="62">
        <v>0</v>
      </c>
      <c r="G252" s="57">
        <f t="shared" si="3"/>
        <v>0</v>
      </c>
      <c r="H252" s="60"/>
      <c r="I252" s="59"/>
    </row>
    <row r="253" spans="1:9" x14ac:dyDescent="0.25">
      <c r="A253" s="55">
        <v>46274</v>
      </c>
      <c r="B253" s="56" t="s">
        <v>14</v>
      </c>
      <c r="C253" s="62">
        <v>0</v>
      </c>
      <c r="D253" s="62">
        <v>0</v>
      </c>
      <c r="E253" s="62">
        <v>0</v>
      </c>
      <c r="F253" s="62">
        <v>0</v>
      </c>
      <c r="G253" s="57">
        <f t="shared" si="3"/>
        <v>0</v>
      </c>
      <c r="H253" s="60"/>
      <c r="I253" s="59"/>
    </row>
    <row r="254" spans="1:9" x14ac:dyDescent="0.25">
      <c r="A254" s="55">
        <v>46275</v>
      </c>
      <c r="B254" s="56" t="s">
        <v>14</v>
      </c>
      <c r="C254" s="62">
        <v>0</v>
      </c>
      <c r="D254" s="62">
        <v>0</v>
      </c>
      <c r="E254" s="62">
        <v>0</v>
      </c>
      <c r="F254" s="62">
        <v>0</v>
      </c>
      <c r="G254" s="57">
        <f t="shared" si="3"/>
        <v>0</v>
      </c>
      <c r="H254" s="60"/>
      <c r="I254" s="59"/>
    </row>
    <row r="255" spans="1:9" x14ac:dyDescent="0.25">
      <c r="A255" s="55">
        <v>46276</v>
      </c>
      <c r="B255" s="56" t="s">
        <v>14</v>
      </c>
      <c r="C255" s="62">
        <v>0</v>
      </c>
      <c r="D255" s="62">
        <v>0</v>
      </c>
      <c r="E255" s="62">
        <v>0</v>
      </c>
      <c r="F255" s="62">
        <v>0</v>
      </c>
      <c r="G255" s="57">
        <f t="shared" si="3"/>
        <v>0</v>
      </c>
      <c r="H255" s="60"/>
      <c r="I255" s="59"/>
    </row>
    <row r="256" spans="1:9" x14ac:dyDescent="0.25">
      <c r="A256" s="55">
        <v>46277</v>
      </c>
      <c r="B256" s="56" t="s">
        <v>14</v>
      </c>
      <c r="C256" s="62">
        <v>0</v>
      </c>
      <c r="D256" s="62">
        <v>0</v>
      </c>
      <c r="E256" s="62">
        <v>0</v>
      </c>
      <c r="F256" s="62">
        <v>0</v>
      </c>
      <c r="G256" s="57">
        <f t="shared" si="3"/>
        <v>0</v>
      </c>
      <c r="H256" s="60"/>
      <c r="I256" s="59"/>
    </row>
    <row r="257" spans="1:9" x14ac:dyDescent="0.25">
      <c r="A257" s="55">
        <v>46278</v>
      </c>
      <c r="B257" s="56" t="s">
        <v>14</v>
      </c>
      <c r="C257" s="62">
        <v>0</v>
      </c>
      <c r="D257" s="62">
        <v>0</v>
      </c>
      <c r="E257" s="62">
        <v>0</v>
      </c>
      <c r="F257" s="62">
        <v>0</v>
      </c>
      <c r="G257" s="57">
        <f t="shared" si="3"/>
        <v>0</v>
      </c>
      <c r="H257" s="61"/>
      <c r="I257" s="59"/>
    </row>
    <row r="258" spans="1:9" x14ac:dyDescent="0.25">
      <c r="A258" s="55">
        <v>46279</v>
      </c>
      <c r="B258" s="56" t="s">
        <v>14</v>
      </c>
      <c r="C258" s="62">
        <v>0</v>
      </c>
      <c r="D258" s="62">
        <v>0</v>
      </c>
      <c r="E258" s="62">
        <v>0</v>
      </c>
      <c r="F258" s="62">
        <v>0</v>
      </c>
      <c r="G258" s="57">
        <f t="shared" si="3"/>
        <v>0</v>
      </c>
      <c r="H258" s="58">
        <f>SUM(G258:G264)</f>
        <v>0</v>
      </c>
      <c r="I258" s="59"/>
    </row>
    <row r="259" spans="1:9" x14ac:dyDescent="0.25">
      <c r="A259" s="55">
        <v>46280</v>
      </c>
      <c r="B259" s="56" t="s">
        <v>14</v>
      </c>
      <c r="C259" s="62">
        <v>0</v>
      </c>
      <c r="D259" s="62">
        <v>0</v>
      </c>
      <c r="E259" s="62">
        <v>0</v>
      </c>
      <c r="F259" s="62">
        <v>0</v>
      </c>
      <c r="G259" s="57">
        <f t="shared" ref="G259:G322" si="4">SUM(F259,E259,C259-D259)</f>
        <v>0</v>
      </c>
      <c r="H259" s="60"/>
      <c r="I259" s="59"/>
    </row>
    <row r="260" spans="1:9" x14ac:dyDescent="0.25">
      <c r="A260" s="55">
        <v>46281</v>
      </c>
      <c r="B260" s="56" t="s">
        <v>14</v>
      </c>
      <c r="C260" s="62">
        <v>0</v>
      </c>
      <c r="D260" s="62">
        <v>0</v>
      </c>
      <c r="E260" s="62">
        <v>0</v>
      </c>
      <c r="F260" s="62">
        <v>0</v>
      </c>
      <c r="G260" s="57">
        <f t="shared" si="4"/>
        <v>0</v>
      </c>
      <c r="H260" s="60"/>
      <c r="I260" s="59"/>
    </row>
    <row r="261" spans="1:9" x14ac:dyDescent="0.25">
      <c r="A261" s="55">
        <v>46282</v>
      </c>
      <c r="B261" s="56" t="s">
        <v>14</v>
      </c>
      <c r="C261" s="62">
        <v>0</v>
      </c>
      <c r="D261" s="62">
        <v>0</v>
      </c>
      <c r="E261" s="62">
        <v>0</v>
      </c>
      <c r="F261" s="62">
        <v>0</v>
      </c>
      <c r="G261" s="57">
        <f t="shared" si="4"/>
        <v>0</v>
      </c>
      <c r="H261" s="60"/>
      <c r="I261" s="59"/>
    </row>
    <row r="262" spans="1:9" x14ac:dyDescent="0.25">
      <c r="A262" s="55">
        <v>46283</v>
      </c>
      <c r="B262" s="56" t="s">
        <v>14</v>
      </c>
      <c r="C262" s="62">
        <v>0</v>
      </c>
      <c r="D262" s="62">
        <v>0</v>
      </c>
      <c r="E262" s="62">
        <v>0</v>
      </c>
      <c r="F262" s="62">
        <v>0</v>
      </c>
      <c r="G262" s="57">
        <f t="shared" si="4"/>
        <v>0</v>
      </c>
      <c r="H262" s="60"/>
      <c r="I262" s="59"/>
    </row>
    <row r="263" spans="1:9" x14ac:dyDescent="0.25">
      <c r="A263" s="55">
        <v>46284</v>
      </c>
      <c r="B263" s="56" t="s">
        <v>14</v>
      </c>
      <c r="C263" s="62">
        <v>0</v>
      </c>
      <c r="D263" s="62">
        <v>0</v>
      </c>
      <c r="E263" s="62">
        <v>0</v>
      </c>
      <c r="F263" s="62">
        <v>0</v>
      </c>
      <c r="G263" s="57">
        <f t="shared" si="4"/>
        <v>0</v>
      </c>
      <c r="H263" s="60"/>
      <c r="I263" s="59"/>
    </row>
    <row r="264" spans="1:9" x14ac:dyDescent="0.25">
      <c r="A264" s="55">
        <v>46285</v>
      </c>
      <c r="B264" s="56" t="s">
        <v>14</v>
      </c>
      <c r="C264" s="62">
        <v>0</v>
      </c>
      <c r="D264" s="62">
        <v>0</v>
      </c>
      <c r="E264" s="62">
        <v>0</v>
      </c>
      <c r="F264" s="62">
        <v>0</v>
      </c>
      <c r="G264" s="57">
        <f t="shared" si="4"/>
        <v>0</v>
      </c>
      <c r="H264" s="61"/>
      <c r="I264" s="59"/>
    </row>
    <row r="265" spans="1:9" x14ac:dyDescent="0.25">
      <c r="A265" s="55">
        <v>46286</v>
      </c>
      <c r="B265" s="56" t="s">
        <v>14</v>
      </c>
      <c r="C265" s="62">
        <v>0</v>
      </c>
      <c r="D265" s="62">
        <v>0</v>
      </c>
      <c r="E265" s="62">
        <v>0</v>
      </c>
      <c r="F265" s="62">
        <v>0</v>
      </c>
      <c r="G265" s="57">
        <f t="shared" si="4"/>
        <v>0</v>
      </c>
      <c r="H265" s="58">
        <f>SUM(G265:G271)</f>
        <v>0</v>
      </c>
      <c r="I265" s="59"/>
    </row>
    <row r="266" spans="1:9" x14ac:dyDescent="0.25">
      <c r="A266" s="55">
        <v>46287</v>
      </c>
      <c r="B266" s="56" t="s">
        <v>14</v>
      </c>
      <c r="C266" s="62">
        <v>0</v>
      </c>
      <c r="D266" s="62">
        <v>0</v>
      </c>
      <c r="E266" s="62">
        <v>0</v>
      </c>
      <c r="F266" s="62">
        <v>0</v>
      </c>
      <c r="G266" s="57">
        <f t="shared" si="4"/>
        <v>0</v>
      </c>
      <c r="H266" s="60"/>
      <c r="I266" s="59"/>
    </row>
    <row r="267" spans="1:9" x14ac:dyDescent="0.25">
      <c r="A267" s="55">
        <v>46288</v>
      </c>
      <c r="B267" s="56" t="s">
        <v>14</v>
      </c>
      <c r="C267" s="62">
        <v>0</v>
      </c>
      <c r="D267" s="62">
        <v>0</v>
      </c>
      <c r="E267" s="62">
        <v>0</v>
      </c>
      <c r="F267" s="62">
        <v>0</v>
      </c>
      <c r="G267" s="57">
        <f t="shared" si="4"/>
        <v>0</v>
      </c>
      <c r="H267" s="60"/>
      <c r="I267" s="59"/>
    </row>
    <row r="268" spans="1:9" x14ac:dyDescent="0.25">
      <c r="A268" s="55">
        <v>46289</v>
      </c>
      <c r="B268" s="56" t="s">
        <v>14</v>
      </c>
      <c r="C268" s="62">
        <v>0</v>
      </c>
      <c r="D268" s="62">
        <v>0</v>
      </c>
      <c r="E268" s="62">
        <v>0</v>
      </c>
      <c r="F268" s="62">
        <v>0</v>
      </c>
      <c r="G268" s="57">
        <f t="shared" si="4"/>
        <v>0</v>
      </c>
      <c r="H268" s="60"/>
      <c r="I268" s="59"/>
    </row>
    <row r="269" spans="1:9" x14ac:dyDescent="0.25">
      <c r="A269" s="55">
        <v>46290</v>
      </c>
      <c r="B269" s="56" t="s">
        <v>14</v>
      </c>
      <c r="C269" s="62">
        <v>0</v>
      </c>
      <c r="D269" s="62">
        <v>0</v>
      </c>
      <c r="E269" s="62">
        <v>0</v>
      </c>
      <c r="F269" s="62">
        <v>0</v>
      </c>
      <c r="G269" s="57">
        <f t="shared" si="4"/>
        <v>0</v>
      </c>
      <c r="H269" s="60"/>
      <c r="I269" s="59"/>
    </row>
    <row r="270" spans="1:9" x14ac:dyDescent="0.25">
      <c r="A270" s="55">
        <v>46291</v>
      </c>
      <c r="B270" s="56" t="s">
        <v>14</v>
      </c>
      <c r="C270" s="62">
        <v>0</v>
      </c>
      <c r="D270" s="62">
        <v>0</v>
      </c>
      <c r="E270" s="62">
        <v>0</v>
      </c>
      <c r="F270" s="62">
        <v>0</v>
      </c>
      <c r="G270" s="57">
        <f t="shared" si="4"/>
        <v>0</v>
      </c>
      <c r="H270" s="60"/>
      <c r="I270" s="59"/>
    </row>
    <row r="271" spans="1:9" x14ac:dyDescent="0.25">
      <c r="A271" s="55">
        <v>46292</v>
      </c>
      <c r="B271" s="56" t="s">
        <v>14</v>
      </c>
      <c r="C271" s="62">
        <v>0</v>
      </c>
      <c r="D271" s="62">
        <v>0</v>
      </c>
      <c r="E271" s="62">
        <v>0</v>
      </c>
      <c r="F271" s="62">
        <v>0</v>
      </c>
      <c r="G271" s="57">
        <f t="shared" si="4"/>
        <v>0</v>
      </c>
      <c r="H271" s="61"/>
      <c r="I271" s="59"/>
    </row>
    <row r="272" spans="1:9" x14ac:dyDescent="0.25">
      <c r="A272" s="55">
        <v>46293</v>
      </c>
      <c r="B272" s="56" t="s">
        <v>14</v>
      </c>
      <c r="C272" s="62">
        <v>0</v>
      </c>
      <c r="D272" s="62">
        <v>0</v>
      </c>
      <c r="E272" s="62">
        <v>0</v>
      </c>
      <c r="F272" s="62">
        <v>0</v>
      </c>
      <c r="G272" s="57">
        <f t="shared" si="4"/>
        <v>0</v>
      </c>
      <c r="H272" s="58">
        <f>SUM(G272:G278)</f>
        <v>0</v>
      </c>
      <c r="I272" s="59"/>
    </row>
    <row r="273" spans="1:9" x14ac:dyDescent="0.25">
      <c r="A273" s="55">
        <v>46294</v>
      </c>
      <c r="B273" s="56" t="s">
        <v>14</v>
      </c>
      <c r="C273" s="62">
        <v>0</v>
      </c>
      <c r="D273" s="62">
        <v>0</v>
      </c>
      <c r="E273" s="62">
        <v>0</v>
      </c>
      <c r="F273" s="62">
        <v>0</v>
      </c>
      <c r="G273" s="57">
        <f t="shared" si="4"/>
        <v>0</v>
      </c>
      <c r="H273" s="60"/>
      <c r="I273" s="59"/>
    </row>
    <row r="274" spans="1:9" x14ac:dyDescent="0.25">
      <c r="A274" s="55">
        <v>46295</v>
      </c>
      <c r="B274" s="56" t="s">
        <v>14</v>
      </c>
      <c r="C274" s="62">
        <v>0</v>
      </c>
      <c r="D274" s="62">
        <v>0</v>
      </c>
      <c r="E274" s="62">
        <v>0</v>
      </c>
      <c r="F274" s="62">
        <v>0</v>
      </c>
      <c r="G274" s="57">
        <f t="shared" si="4"/>
        <v>0</v>
      </c>
      <c r="H274" s="60"/>
      <c r="I274" s="59"/>
    </row>
    <row r="275" spans="1:9" x14ac:dyDescent="0.25">
      <c r="A275" s="55">
        <v>46296</v>
      </c>
      <c r="B275" s="56" t="s">
        <v>14</v>
      </c>
      <c r="C275" s="62">
        <v>0</v>
      </c>
      <c r="D275" s="62">
        <v>0</v>
      </c>
      <c r="E275" s="62">
        <v>0</v>
      </c>
      <c r="F275" s="62">
        <v>0</v>
      </c>
      <c r="G275" s="57">
        <f t="shared" si="4"/>
        <v>0</v>
      </c>
      <c r="H275" s="60"/>
      <c r="I275" s="59"/>
    </row>
    <row r="276" spans="1:9" x14ac:dyDescent="0.25">
      <c r="A276" s="55">
        <v>46297</v>
      </c>
      <c r="B276" s="56" t="s">
        <v>14</v>
      </c>
      <c r="C276" s="62">
        <v>0</v>
      </c>
      <c r="D276" s="62">
        <v>0</v>
      </c>
      <c r="E276" s="62">
        <v>0</v>
      </c>
      <c r="F276" s="62">
        <v>0</v>
      </c>
      <c r="G276" s="57">
        <f t="shared" si="4"/>
        <v>0</v>
      </c>
      <c r="H276" s="60"/>
      <c r="I276" s="59"/>
    </row>
    <row r="277" spans="1:9" x14ac:dyDescent="0.25">
      <c r="A277" s="55">
        <v>46298</v>
      </c>
      <c r="B277" s="56" t="s">
        <v>14</v>
      </c>
      <c r="C277" s="62">
        <v>0</v>
      </c>
      <c r="D277" s="62">
        <v>0</v>
      </c>
      <c r="E277" s="62">
        <v>0</v>
      </c>
      <c r="F277" s="62">
        <v>0</v>
      </c>
      <c r="G277" s="57">
        <f t="shared" si="4"/>
        <v>0</v>
      </c>
      <c r="H277" s="60"/>
      <c r="I277" s="59"/>
    </row>
    <row r="278" spans="1:9" x14ac:dyDescent="0.25">
      <c r="A278" s="55">
        <v>46299</v>
      </c>
      <c r="B278" s="56" t="s">
        <v>14</v>
      </c>
      <c r="C278" s="62">
        <v>0</v>
      </c>
      <c r="D278" s="62">
        <v>0</v>
      </c>
      <c r="E278" s="62">
        <v>0</v>
      </c>
      <c r="F278" s="62">
        <v>0</v>
      </c>
      <c r="G278" s="57">
        <f t="shared" si="4"/>
        <v>0</v>
      </c>
      <c r="H278" s="61"/>
      <c r="I278" s="59"/>
    </row>
    <row r="279" spans="1:9" x14ac:dyDescent="0.25">
      <c r="A279" s="55">
        <v>46300</v>
      </c>
      <c r="B279" s="56" t="s">
        <v>14</v>
      </c>
      <c r="C279" s="62">
        <v>0</v>
      </c>
      <c r="D279" s="62">
        <v>0</v>
      </c>
      <c r="E279" s="62">
        <v>0</v>
      </c>
      <c r="F279" s="62">
        <v>0</v>
      </c>
      <c r="G279" s="57">
        <f t="shared" si="4"/>
        <v>0</v>
      </c>
      <c r="H279" s="58">
        <f>SUM(G279:G285)</f>
        <v>0</v>
      </c>
      <c r="I279" s="59"/>
    </row>
    <row r="280" spans="1:9" x14ac:dyDescent="0.25">
      <c r="A280" s="55">
        <v>46301</v>
      </c>
      <c r="B280" s="56" t="s">
        <v>14</v>
      </c>
      <c r="C280" s="62">
        <v>0</v>
      </c>
      <c r="D280" s="62">
        <v>0</v>
      </c>
      <c r="E280" s="62">
        <v>0</v>
      </c>
      <c r="F280" s="62">
        <v>0</v>
      </c>
      <c r="G280" s="57">
        <f t="shared" si="4"/>
        <v>0</v>
      </c>
      <c r="H280" s="60"/>
      <c r="I280" s="59"/>
    </row>
    <row r="281" spans="1:9" x14ac:dyDescent="0.25">
      <c r="A281" s="55">
        <v>46302</v>
      </c>
      <c r="B281" s="56" t="s">
        <v>14</v>
      </c>
      <c r="C281" s="62">
        <v>0</v>
      </c>
      <c r="D281" s="62">
        <v>0</v>
      </c>
      <c r="E281" s="62">
        <v>0</v>
      </c>
      <c r="F281" s="62">
        <v>0</v>
      </c>
      <c r="G281" s="57">
        <f t="shared" si="4"/>
        <v>0</v>
      </c>
      <c r="H281" s="60"/>
      <c r="I281" s="59"/>
    </row>
    <row r="282" spans="1:9" x14ac:dyDescent="0.25">
      <c r="A282" s="55">
        <v>46303</v>
      </c>
      <c r="B282" s="56" t="s">
        <v>14</v>
      </c>
      <c r="C282" s="62">
        <v>0</v>
      </c>
      <c r="D282" s="62">
        <v>0</v>
      </c>
      <c r="E282" s="62">
        <v>0</v>
      </c>
      <c r="F282" s="62">
        <v>0</v>
      </c>
      <c r="G282" s="57">
        <f t="shared" si="4"/>
        <v>0</v>
      </c>
      <c r="H282" s="60"/>
      <c r="I282" s="59"/>
    </row>
    <row r="283" spans="1:9" x14ac:dyDescent="0.25">
      <c r="A283" s="55">
        <v>46304</v>
      </c>
      <c r="B283" s="56" t="s">
        <v>14</v>
      </c>
      <c r="C283" s="62">
        <v>0</v>
      </c>
      <c r="D283" s="62">
        <v>0</v>
      </c>
      <c r="E283" s="62">
        <v>0</v>
      </c>
      <c r="F283" s="62">
        <v>0</v>
      </c>
      <c r="G283" s="57">
        <f t="shared" si="4"/>
        <v>0</v>
      </c>
      <c r="H283" s="60"/>
      <c r="I283" s="59"/>
    </row>
    <row r="284" spans="1:9" x14ac:dyDescent="0.25">
      <c r="A284" s="55">
        <v>46305</v>
      </c>
      <c r="B284" s="56" t="s">
        <v>14</v>
      </c>
      <c r="C284" s="62">
        <v>0</v>
      </c>
      <c r="D284" s="62">
        <v>0</v>
      </c>
      <c r="E284" s="62">
        <v>0</v>
      </c>
      <c r="F284" s="62">
        <v>0</v>
      </c>
      <c r="G284" s="57">
        <f t="shared" si="4"/>
        <v>0</v>
      </c>
      <c r="H284" s="60"/>
      <c r="I284" s="59"/>
    </row>
    <row r="285" spans="1:9" x14ac:dyDescent="0.25">
      <c r="A285" s="55">
        <v>46306</v>
      </c>
      <c r="B285" s="56" t="s">
        <v>14</v>
      </c>
      <c r="C285" s="62">
        <v>0</v>
      </c>
      <c r="D285" s="62">
        <v>0</v>
      </c>
      <c r="E285" s="62">
        <v>0</v>
      </c>
      <c r="F285" s="62">
        <v>0</v>
      </c>
      <c r="G285" s="57">
        <f t="shared" si="4"/>
        <v>0</v>
      </c>
      <c r="H285" s="61"/>
      <c r="I285" s="59"/>
    </row>
    <row r="286" spans="1:9" x14ac:dyDescent="0.25">
      <c r="A286" s="55">
        <v>46307</v>
      </c>
      <c r="B286" s="56" t="s">
        <v>14</v>
      </c>
      <c r="C286" s="62">
        <v>0</v>
      </c>
      <c r="D286" s="62">
        <v>0</v>
      </c>
      <c r="E286" s="62">
        <v>0</v>
      </c>
      <c r="F286" s="62">
        <v>0</v>
      </c>
      <c r="G286" s="57">
        <f t="shared" si="4"/>
        <v>0</v>
      </c>
      <c r="H286" s="58">
        <f>SUM(G286:G292)</f>
        <v>0</v>
      </c>
      <c r="I286" s="59"/>
    </row>
    <row r="287" spans="1:9" x14ac:dyDescent="0.25">
      <c r="A287" s="55">
        <v>46308</v>
      </c>
      <c r="B287" s="56" t="s">
        <v>14</v>
      </c>
      <c r="C287" s="62">
        <v>0</v>
      </c>
      <c r="D287" s="62">
        <v>0</v>
      </c>
      <c r="E287" s="62">
        <v>0</v>
      </c>
      <c r="F287" s="62">
        <v>0</v>
      </c>
      <c r="G287" s="57">
        <f t="shared" si="4"/>
        <v>0</v>
      </c>
      <c r="H287" s="60"/>
      <c r="I287" s="59"/>
    </row>
    <row r="288" spans="1:9" x14ac:dyDescent="0.25">
      <c r="A288" s="55">
        <v>46309</v>
      </c>
      <c r="B288" s="56" t="s">
        <v>14</v>
      </c>
      <c r="C288" s="62">
        <v>0</v>
      </c>
      <c r="D288" s="62">
        <v>0</v>
      </c>
      <c r="E288" s="62">
        <v>0</v>
      </c>
      <c r="F288" s="62">
        <v>0</v>
      </c>
      <c r="G288" s="57">
        <f t="shared" si="4"/>
        <v>0</v>
      </c>
      <c r="H288" s="60"/>
      <c r="I288" s="59"/>
    </row>
    <row r="289" spans="1:9" x14ac:dyDescent="0.25">
      <c r="A289" s="55">
        <v>46310</v>
      </c>
      <c r="B289" s="56" t="s">
        <v>14</v>
      </c>
      <c r="C289" s="62">
        <v>0</v>
      </c>
      <c r="D289" s="62">
        <v>0</v>
      </c>
      <c r="E289" s="62">
        <v>0</v>
      </c>
      <c r="F289" s="62">
        <v>0</v>
      </c>
      <c r="G289" s="57">
        <f t="shared" si="4"/>
        <v>0</v>
      </c>
      <c r="H289" s="60"/>
      <c r="I289" s="59"/>
    </row>
    <row r="290" spans="1:9" x14ac:dyDescent="0.25">
      <c r="A290" s="55">
        <v>46311</v>
      </c>
      <c r="B290" s="56" t="s">
        <v>14</v>
      </c>
      <c r="C290" s="62">
        <v>0</v>
      </c>
      <c r="D290" s="62">
        <v>0</v>
      </c>
      <c r="E290" s="62">
        <v>0</v>
      </c>
      <c r="F290" s="62">
        <v>0</v>
      </c>
      <c r="G290" s="57">
        <f t="shared" si="4"/>
        <v>0</v>
      </c>
      <c r="H290" s="60"/>
      <c r="I290" s="59"/>
    </row>
    <row r="291" spans="1:9" x14ac:dyDescent="0.25">
      <c r="A291" s="55">
        <v>46312</v>
      </c>
      <c r="B291" s="56" t="s">
        <v>14</v>
      </c>
      <c r="C291" s="62">
        <v>0</v>
      </c>
      <c r="D291" s="62">
        <v>0</v>
      </c>
      <c r="E291" s="62">
        <v>0</v>
      </c>
      <c r="F291" s="62">
        <v>0</v>
      </c>
      <c r="G291" s="57">
        <f t="shared" si="4"/>
        <v>0</v>
      </c>
      <c r="H291" s="60"/>
      <c r="I291" s="59"/>
    </row>
    <row r="292" spans="1:9" x14ac:dyDescent="0.25">
      <c r="A292" s="55">
        <v>46313</v>
      </c>
      <c r="B292" s="56" t="s">
        <v>14</v>
      </c>
      <c r="C292" s="62">
        <v>0</v>
      </c>
      <c r="D292" s="62">
        <v>0</v>
      </c>
      <c r="E292" s="62">
        <v>0</v>
      </c>
      <c r="F292" s="62">
        <v>0</v>
      </c>
      <c r="G292" s="57">
        <f t="shared" si="4"/>
        <v>0</v>
      </c>
      <c r="H292" s="61"/>
      <c r="I292" s="59"/>
    </row>
    <row r="293" spans="1:9" x14ac:dyDescent="0.25">
      <c r="A293" s="55">
        <v>46314</v>
      </c>
      <c r="B293" s="56" t="s">
        <v>14</v>
      </c>
      <c r="C293" s="62">
        <v>0</v>
      </c>
      <c r="D293" s="62">
        <v>0</v>
      </c>
      <c r="E293" s="62">
        <v>0</v>
      </c>
      <c r="F293" s="62">
        <v>0</v>
      </c>
      <c r="G293" s="57">
        <f t="shared" si="4"/>
        <v>0</v>
      </c>
      <c r="H293" s="58">
        <f>SUM(G293:G299)</f>
        <v>0</v>
      </c>
      <c r="I293" s="59"/>
    </row>
    <row r="294" spans="1:9" x14ac:dyDescent="0.25">
      <c r="A294" s="55">
        <v>46315</v>
      </c>
      <c r="B294" s="56" t="s">
        <v>14</v>
      </c>
      <c r="C294" s="62">
        <v>0</v>
      </c>
      <c r="D294" s="62">
        <v>0</v>
      </c>
      <c r="E294" s="62">
        <v>0</v>
      </c>
      <c r="F294" s="62">
        <v>0</v>
      </c>
      <c r="G294" s="57">
        <f t="shared" si="4"/>
        <v>0</v>
      </c>
      <c r="H294" s="60"/>
      <c r="I294" s="59"/>
    </row>
    <row r="295" spans="1:9" x14ac:dyDescent="0.25">
      <c r="A295" s="55">
        <v>46316</v>
      </c>
      <c r="B295" s="56" t="s">
        <v>14</v>
      </c>
      <c r="C295" s="62">
        <v>0</v>
      </c>
      <c r="D295" s="62">
        <v>0</v>
      </c>
      <c r="E295" s="62">
        <v>0</v>
      </c>
      <c r="F295" s="62">
        <v>0</v>
      </c>
      <c r="G295" s="57">
        <f t="shared" si="4"/>
        <v>0</v>
      </c>
      <c r="H295" s="60"/>
      <c r="I295" s="59"/>
    </row>
    <row r="296" spans="1:9" x14ac:dyDescent="0.25">
      <c r="A296" s="55">
        <v>46317</v>
      </c>
      <c r="B296" s="56" t="s">
        <v>14</v>
      </c>
      <c r="C296" s="62">
        <v>0</v>
      </c>
      <c r="D296" s="62">
        <v>0</v>
      </c>
      <c r="E296" s="62">
        <v>0</v>
      </c>
      <c r="F296" s="62">
        <v>0</v>
      </c>
      <c r="G296" s="57">
        <f t="shared" si="4"/>
        <v>0</v>
      </c>
      <c r="H296" s="60"/>
      <c r="I296" s="59"/>
    </row>
    <row r="297" spans="1:9" x14ac:dyDescent="0.25">
      <c r="A297" s="55">
        <v>46318</v>
      </c>
      <c r="B297" s="56" t="s">
        <v>14</v>
      </c>
      <c r="C297" s="62">
        <v>0</v>
      </c>
      <c r="D297" s="62">
        <v>0</v>
      </c>
      <c r="E297" s="62">
        <v>0</v>
      </c>
      <c r="F297" s="62">
        <v>0</v>
      </c>
      <c r="G297" s="57">
        <f t="shared" si="4"/>
        <v>0</v>
      </c>
      <c r="H297" s="60"/>
      <c r="I297" s="59"/>
    </row>
    <row r="298" spans="1:9" x14ac:dyDescent="0.25">
      <c r="A298" s="55">
        <v>46319</v>
      </c>
      <c r="B298" s="56" t="s">
        <v>14</v>
      </c>
      <c r="C298" s="62">
        <v>0</v>
      </c>
      <c r="D298" s="62">
        <v>0</v>
      </c>
      <c r="E298" s="62">
        <v>0</v>
      </c>
      <c r="F298" s="62">
        <v>0</v>
      </c>
      <c r="G298" s="57">
        <f t="shared" si="4"/>
        <v>0</v>
      </c>
      <c r="H298" s="60"/>
      <c r="I298" s="59"/>
    </row>
    <row r="299" spans="1:9" x14ac:dyDescent="0.25">
      <c r="A299" s="55">
        <v>46320</v>
      </c>
      <c r="B299" s="56" t="s">
        <v>14</v>
      </c>
      <c r="C299" s="62">
        <v>0</v>
      </c>
      <c r="D299" s="62">
        <v>0</v>
      </c>
      <c r="E299" s="62">
        <v>0</v>
      </c>
      <c r="F299" s="62">
        <v>0</v>
      </c>
      <c r="G299" s="57">
        <f t="shared" si="4"/>
        <v>0</v>
      </c>
      <c r="H299" s="61"/>
      <c r="I299" s="59"/>
    </row>
    <row r="300" spans="1:9" x14ac:dyDescent="0.25">
      <c r="A300" s="55">
        <v>46321</v>
      </c>
      <c r="B300" s="56" t="s">
        <v>14</v>
      </c>
      <c r="C300" s="62">
        <v>0</v>
      </c>
      <c r="D300" s="62">
        <v>0</v>
      </c>
      <c r="E300" s="62">
        <v>0</v>
      </c>
      <c r="F300" s="62">
        <v>0</v>
      </c>
      <c r="G300" s="57">
        <f t="shared" si="4"/>
        <v>0</v>
      </c>
      <c r="H300" s="58">
        <f>SUM(G300:G306)</f>
        <v>0</v>
      </c>
      <c r="I300" s="59"/>
    </row>
    <row r="301" spans="1:9" x14ac:dyDescent="0.25">
      <c r="A301" s="55">
        <v>46322</v>
      </c>
      <c r="B301" s="56" t="s">
        <v>14</v>
      </c>
      <c r="C301" s="62">
        <v>0</v>
      </c>
      <c r="D301" s="62">
        <v>0</v>
      </c>
      <c r="E301" s="62">
        <v>0</v>
      </c>
      <c r="F301" s="62">
        <v>0</v>
      </c>
      <c r="G301" s="57">
        <f t="shared" si="4"/>
        <v>0</v>
      </c>
      <c r="H301" s="60"/>
      <c r="I301" s="59"/>
    </row>
    <row r="302" spans="1:9" x14ac:dyDescent="0.25">
      <c r="A302" s="55">
        <v>46323</v>
      </c>
      <c r="B302" s="56" t="s">
        <v>14</v>
      </c>
      <c r="C302" s="62">
        <v>0</v>
      </c>
      <c r="D302" s="62">
        <v>0</v>
      </c>
      <c r="E302" s="62">
        <v>0</v>
      </c>
      <c r="F302" s="62">
        <v>0</v>
      </c>
      <c r="G302" s="57">
        <f t="shared" si="4"/>
        <v>0</v>
      </c>
      <c r="H302" s="60"/>
      <c r="I302" s="59"/>
    </row>
    <row r="303" spans="1:9" x14ac:dyDescent="0.25">
      <c r="A303" s="55">
        <v>46324</v>
      </c>
      <c r="B303" s="56" t="s">
        <v>14</v>
      </c>
      <c r="C303" s="62">
        <v>0</v>
      </c>
      <c r="D303" s="62">
        <v>0</v>
      </c>
      <c r="E303" s="62">
        <v>0</v>
      </c>
      <c r="F303" s="62">
        <v>0</v>
      </c>
      <c r="G303" s="57">
        <f t="shared" si="4"/>
        <v>0</v>
      </c>
      <c r="H303" s="60"/>
      <c r="I303" s="59"/>
    </row>
    <row r="304" spans="1:9" x14ac:dyDescent="0.25">
      <c r="A304" s="55">
        <v>46325</v>
      </c>
      <c r="B304" s="56" t="s">
        <v>14</v>
      </c>
      <c r="C304" s="62">
        <v>0</v>
      </c>
      <c r="D304" s="62">
        <v>0</v>
      </c>
      <c r="E304" s="62">
        <v>0</v>
      </c>
      <c r="F304" s="62">
        <v>0</v>
      </c>
      <c r="G304" s="57">
        <f t="shared" si="4"/>
        <v>0</v>
      </c>
      <c r="H304" s="60"/>
      <c r="I304" s="59"/>
    </row>
    <row r="305" spans="1:9" x14ac:dyDescent="0.25">
      <c r="A305" s="55">
        <v>46326</v>
      </c>
      <c r="B305" s="56" t="s">
        <v>14</v>
      </c>
      <c r="C305" s="62">
        <v>0</v>
      </c>
      <c r="D305" s="62">
        <v>0</v>
      </c>
      <c r="E305" s="62">
        <v>0</v>
      </c>
      <c r="F305" s="62">
        <v>0</v>
      </c>
      <c r="G305" s="57">
        <f t="shared" si="4"/>
        <v>0</v>
      </c>
      <c r="H305" s="60"/>
      <c r="I305" s="59"/>
    </row>
    <row r="306" spans="1:9" x14ac:dyDescent="0.25">
      <c r="A306" s="55">
        <v>46327</v>
      </c>
      <c r="B306" s="56" t="s">
        <v>14</v>
      </c>
      <c r="C306" s="62">
        <v>0</v>
      </c>
      <c r="D306" s="62">
        <v>0</v>
      </c>
      <c r="E306" s="62">
        <v>0</v>
      </c>
      <c r="F306" s="62">
        <v>0</v>
      </c>
      <c r="G306" s="57">
        <f t="shared" si="4"/>
        <v>0</v>
      </c>
      <c r="H306" s="61"/>
      <c r="I306" s="59"/>
    </row>
    <row r="307" spans="1:9" x14ac:dyDescent="0.25">
      <c r="A307" s="55">
        <v>46328</v>
      </c>
      <c r="B307" s="56" t="s">
        <v>14</v>
      </c>
      <c r="C307" s="62">
        <v>0</v>
      </c>
      <c r="D307" s="62">
        <v>0</v>
      </c>
      <c r="E307" s="62">
        <v>0</v>
      </c>
      <c r="F307" s="62">
        <v>0</v>
      </c>
      <c r="G307" s="57">
        <f t="shared" si="4"/>
        <v>0</v>
      </c>
      <c r="H307" s="58">
        <f>SUM(G307:G313)</f>
        <v>0</v>
      </c>
      <c r="I307" s="59"/>
    </row>
    <row r="308" spans="1:9" x14ac:dyDescent="0.25">
      <c r="A308" s="55">
        <v>46329</v>
      </c>
      <c r="B308" s="56" t="s">
        <v>14</v>
      </c>
      <c r="C308" s="62">
        <v>0</v>
      </c>
      <c r="D308" s="62">
        <v>0</v>
      </c>
      <c r="E308" s="62">
        <v>0</v>
      </c>
      <c r="F308" s="62">
        <v>0</v>
      </c>
      <c r="G308" s="57">
        <f t="shared" si="4"/>
        <v>0</v>
      </c>
      <c r="H308" s="60"/>
      <c r="I308" s="59"/>
    </row>
    <row r="309" spans="1:9" x14ac:dyDescent="0.25">
      <c r="A309" s="55">
        <v>46330</v>
      </c>
      <c r="B309" s="56" t="s">
        <v>14</v>
      </c>
      <c r="C309" s="62">
        <v>0</v>
      </c>
      <c r="D309" s="62">
        <v>0</v>
      </c>
      <c r="E309" s="62">
        <v>0</v>
      </c>
      <c r="F309" s="62">
        <v>0</v>
      </c>
      <c r="G309" s="57">
        <f t="shared" si="4"/>
        <v>0</v>
      </c>
      <c r="H309" s="60"/>
      <c r="I309" s="59"/>
    </row>
    <row r="310" spans="1:9" x14ac:dyDescent="0.25">
      <c r="A310" s="55">
        <v>46331</v>
      </c>
      <c r="B310" s="56" t="s">
        <v>14</v>
      </c>
      <c r="C310" s="62">
        <v>0</v>
      </c>
      <c r="D310" s="62">
        <v>0</v>
      </c>
      <c r="E310" s="62">
        <v>0</v>
      </c>
      <c r="F310" s="62">
        <v>0</v>
      </c>
      <c r="G310" s="57">
        <f t="shared" si="4"/>
        <v>0</v>
      </c>
      <c r="H310" s="60"/>
      <c r="I310" s="59"/>
    </row>
    <row r="311" spans="1:9" x14ac:dyDescent="0.25">
      <c r="A311" s="55">
        <v>46332</v>
      </c>
      <c r="B311" s="56" t="s">
        <v>14</v>
      </c>
      <c r="C311" s="62">
        <v>0</v>
      </c>
      <c r="D311" s="62">
        <v>0</v>
      </c>
      <c r="E311" s="62">
        <v>0</v>
      </c>
      <c r="F311" s="62">
        <v>0</v>
      </c>
      <c r="G311" s="57">
        <f t="shared" si="4"/>
        <v>0</v>
      </c>
      <c r="H311" s="60"/>
      <c r="I311" s="59"/>
    </row>
    <row r="312" spans="1:9" x14ac:dyDescent="0.25">
      <c r="A312" s="55">
        <v>46333</v>
      </c>
      <c r="B312" s="56" t="s">
        <v>14</v>
      </c>
      <c r="C312" s="62">
        <v>0</v>
      </c>
      <c r="D312" s="62">
        <v>0</v>
      </c>
      <c r="E312" s="62">
        <v>0</v>
      </c>
      <c r="F312" s="62">
        <v>0</v>
      </c>
      <c r="G312" s="57">
        <f t="shared" si="4"/>
        <v>0</v>
      </c>
      <c r="H312" s="60"/>
      <c r="I312" s="59"/>
    </row>
    <row r="313" spans="1:9" x14ac:dyDescent="0.25">
      <c r="A313" s="55">
        <v>46334</v>
      </c>
      <c r="B313" s="56" t="s">
        <v>14</v>
      </c>
      <c r="C313" s="62">
        <v>0</v>
      </c>
      <c r="D313" s="62">
        <v>0</v>
      </c>
      <c r="E313" s="62">
        <v>0</v>
      </c>
      <c r="F313" s="62">
        <v>0</v>
      </c>
      <c r="G313" s="57">
        <f t="shared" si="4"/>
        <v>0</v>
      </c>
      <c r="H313" s="61"/>
      <c r="I313" s="59"/>
    </row>
    <row r="314" spans="1:9" x14ac:dyDescent="0.25">
      <c r="A314" s="55">
        <v>46335</v>
      </c>
      <c r="B314" s="56" t="s">
        <v>14</v>
      </c>
      <c r="C314" s="62">
        <v>0</v>
      </c>
      <c r="D314" s="62">
        <v>0</v>
      </c>
      <c r="E314" s="62">
        <v>0</v>
      </c>
      <c r="F314" s="62">
        <v>0</v>
      </c>
      <c r="G314" s="57">
        <f t="shared" si="4"/>
        <v>0</v>
      </c>
      <c r="H314" s="58">
        <f>SUM(G314:G320)</f>
        <v>0</v>
      </c>
      <c r="I314" s="59"/>
    </row>
    <row r="315" spans="1:9" x14ac:dyDescent="0.25">
      <c r="A315" s="55">
        <v>46336</v>
      </c>
      <c r="B315" s="56" t="s">
        <v>14</v>
      </c>
      <c r="C315" s="62">
        <v>0</v>
      </c>
      <c r="D315" s="62">
        <v>0</v>
      </c>
      <c r="E315" s="62">
        <v>0</v>
      </c>
      <c r="F315" s="62">
        <v>0</v>
      </c>
      <c r="G315" s="57">
        <f t="shared" si="4"/>
        <v>0</v>
      </c>
      <c r="H315" s="60"/>
      <c r="I315" s="59"/>
    </row>
    <row r="316" spans="1:9" x14ac:dyDescent="0.25">
      <c r="A316" s="55">
        <v>46337</v>
      </c>
      <c r="B316" s="56" t="s">
        <v>14</v>
      </c>
      <c r="C316" s="62">
        <v>0</v>
      </c>
      <c r="D316" s="62">
        <v>0</v>
      </c>
      <c r="E316" s="62">
        <v>0</v>
      </c>
      <c r="F316" s="62">
        <v>0</v>
      </c>
      <c r="G316" s="57">
        <f t="shared" si="4"/>
        <v>0</v>
      </c>
      <c r="H316" s="60"/>
      <c r="I316" s="59"/>
    </row>
    <row r="317" spans="1:9" x14ac:dyDescent="0.25">
      <c r="A317" s="55">
        <v>46338</v>
      </c>
      <c r="B317" s="56" t="s">
        <v>14</v>
      </c>
      <c r="C317" s="62">
        <v>0</v>
      </c>
      <c r="D317" s="62">
        <v>0</v>
      </c>
      <c r="E317" s="62">
        <v>0</v>
      </c>
      <c r="F317" s="62">
        <v>0</v>
      </c>
      <c r="G317" s="57">
        <f t="shared" si="4"/>
        <v>0</v>
      </c>
      <c r="H317" s="60"/>
      <c r="I317" s="59"/>
    </row>
    <row r="318" spans="1:9" x14ac:dyDescent="0.25">
      <c r="A318" s="55">
        <v>46339</v>
      </c>
      <c r="B318" s="56" t="s">
        <v>14</v>
      </c>
      <c r="C318" s="62">
        <v>0</v>
      </c>
      <c r="D318" s="62">
        <v>0</v>
      </c>
      <c r="E318" s="62">
        <v>0</v>
      </c>
      <c r="F318" s="62">
        <v>0</v>
      </c>
      <c r="G318" s="57">
        <f t="shared" si="4"/>
        <v>0</v>
      </c>
      <c r="H318" s="60"/>
      <c r="I318" s="59"/>
    </row>
    <row r="319" spans="1:9" x14ac:dyDescent="0.25">
      <c r="A319" s="55">
        <v>46340</v>
      </c>
      <c r="B319" s="56" t="s">
        <v>14</v>
      </c>
      <c r="C319" s="62">
        <v>0</v>
      </c>
      <c r="D319" s="62">
        <v>0</v>
      </c>
      <c r="E319" s="62">
        <v>0</v>
      </c>
      <c r="F319" s="62">
        <v>0</v>
      </c>
      <c r="G319" s="57">
        <f t="shared" si="4"/>
        <v>0</v>
      </c>
      <c r="H319" s="60"/>
      <c r="I319" s="59"/>
    </row>
    <row r="320" spans="1:9" x14ac:dyDescent="0.25">
      <c r="A320" s="55">
        <v>46341</v>
      </c>
      <c r="B320" s="56" t="s">
        <v>14</v>
      </c>
      <c r="C320" s="62">
        <v>0</v>
      </c>
      <c r="D320" s="62">
        <v>0</v>
      </c>
      <c r="E320" s="62">
        <v>0</v>
      </c>
      <c r="F320" s="62">
        <v>0</v>
      </c>
      <c r="G320" s="57">
        <f t="shared" si="4"/>
        <v>0</v>
      </c>
      <c r="H320" s="61"/>
      <c r="I320" s="59"/>
    </row>
    <row r="321" spans="1:9" x14ac:dyDescent="0.25">
      <c r="A321" s="55">
        <v>46342</v>
      </c>
      <c r="B321" s="56" t="s">
        <v>14</v>
      </c>
      <c r="C321" s="62">
        <v>0</v>
      </c>
      <c r="D321" s="62">
        <v>0</v>
      </c>
      <c r="E321" s="62">
        <v>0</v>
      </c>
      <c r="F321" s="62">
        <v>0</v>
      </c>
      <c r="G321" s="57">
        <f t="shared" si="4"/>
        <v>0</v>
      </c>
      <c r="H321" s="58">
        <f>SUM(G321:G327)</f>
        <v>0</v>
      </c>
      <c r="I321" s="59"/>
    </row>
    <row r="322" spans="1:9" x14ac:dyDescent="0.25">
      <c r="A322" s="55">
        <v>46343</v>
      </c>
      <c r="B322" s="56" t="s">
        <v>14</v>
      </c>
      <c r="C322" s="62">
        <v>0</v>
      </c>
      <c r="D322" s="62">
        <v>0</v>
      </c>
      <c r="E322" s="62">
        <v>0</v>
      </c>
      <c r="F322" s="62">
        <v>0</v>
      </c>
      <c r="G322" s="57">
        <f t="shared" si="4"/>
        <v>0</v>
      </c>
      <c r="H322" s="60"/>
      <c r="I322" s="59"/>
    </row>
    <row r="323" spans="1:9" x14ac:dyDescent="0.25">
      <c r="A323" s="55">
        <v>46344</v>
      </c>
      <c r="B323" s="56" t="s">
        <v>14</v>
      </c>
      <c r="C323" s="62">
        <v>0</v>
      </c>
      <c r="D323" s="62">
        <v>0</v>
      </c>
      <c r="E323" s="62">
        <v>0</v>
      </c>
      <c r="F323" s="62">
        <v>0</v>
      </c>
      <c r="G323" s="57">
        <f t="shared" ref="G323:G367" si="5">SUM(F323,E323,C323-D323)</f>
        <v>0</v>
      </c>
      <c r="H323" s="60"/>
      <c r="I323" s="59"/>
    </row>
    <row r="324" spans="1:9" x14ac:dyDescent="0.25">
      <c r="A324" s="55">
        <v>46345</v>
      </c>
      <c r="B324" s="56" t="s">
        <v>14</v>
      </c>
      <c r="C324" s="62">
        <v>0</v>
      </c>
      <c r="D324" s="62">
        <v>0</v>
      </c>
      <c r="E324" s="62">
        <v>0</v>
      </c>
      <c r="F324" s="62">
        <v>0</v>
      </c>
      <c r="G324" s="57">
        <f t="shared" si="5"/>
        <v>0</v>
      </c>
      <c r="H324" s="60"/>
      <c r="I324" s="59"/>
    </row>
    <row r="325" spans="1:9" x14ac:dyDescent="0.25">
      <c r="A325" s="55">
        <v>46346</v>
      </c>
      <c r="B325" s="56" t="s">
        <v>14</v>
      </c>
      <c r="C325" s="62">
        <v>0</v>
      </c>
      <c r="D325" s="62">
        <v>0</v>
      </c>
      <c r="E325" s="62">
        <v>0</v>
      </c>
      <c r="F325" s="62">
        <v>0</v>
      </c>
      <c r="G325" s="57">
        <f t="shared" si="5"/>
        <v>0</v>
      </c>
      <c r="H325" s="60"/>
      <c r="I325" s="59"/>
    </row>
    <row r="326" spans="1:9" x14ac:dyDescent="0.25">
      <c r="A326" s="55">
        <v>46347</v>
      </c>
      <c r="B326" s="56" t="s">
        <v>14</v>
      </c>
      <c r="C326" s="62">
        <v>0</v>
      </c>
      <c r="D326" s="62">
        <v>0</v>
      </c>
      <c r="E326" s="62">
        <v>0</v>
      </c>
      <c r="F326" s="62">
        <v>0</v>
      </c>
      <c r="G326" s="57">
        <f t="shared" si="5"/>
        <v>0</v>
      </c>
      <c r="H326" s="60"/>
      <c r="I326" s="59"/>
    </row>
    <row r="327" spans="1:9" x14ac:dyDescent="0.25">
      <c r="A327" s="55">
        <v>46348</v>
      </c>
      <c r="B327" s="56" t="s">
        <v>14</v>
      </c>
      <c r="C327" s="62">
        <v>0</v>
      </c>
      <c r="D327" s="62">
        <v>0</v>
      </c>
      <c r="E327" s="62">
        <v>0</v>
      </c>
      <c r="F327" s="62">
        <v>0</v>
      </c>
      <c r="G327" s="57">
        <f t="shared" si="5"/>
        <v>0</v>
      </c>
      <c r="H327" s="61"/>
      <c r="I327" s="59"/>
    </row>
    <row r="328" spans="1:9" x14ac:dyDescent="0.25">
      <c r="A328" s="55">
        <v>46349</v>
      </c>
      <c r="B328" s="56" t="s">
        <v>14</v>
      </c>
      <c r="C328" s="62">
        <v>0</v>
      </c>
      <c r="D328" s="62">
        <v>0</v>
      </c>
      <c r="E328" s="62">
        <v>0</v>
      </c>
      <c r="F328" s="62">
        <v>0</v>
      </c>
      <c r="G328" s="57">
        <f t="shared" si="5"/>
        <v>0</v>
      </c>
      <c r="H328" s="58">
        <f>SUM(G328:G334)</f>
        <v>0</v>
      </c>
      <c r="I328" s="59"/>
    </row>
    <row r="329" spans="1:9" x14ac:dyDescent="0.25">
      <c r="A329" s="55">
        <v>46350</v>
      </c>
      <c r="B329" s="56" t="s">
        <v>14</v>
      </c>
      <c r="C329" s="62">
        <v>0</v>
      </c>
      <c r="D329" s="62">
        <v>0</v>
      </c>
      <c r="E329" s="62">
        <v>0</v>
      </c>
      <c r="F329" s="62">
        <v>0</v>
      </c>
      <c r="G329" s="57">
        <f t="shared" si="5"/>
        <v>0</v>
      </c>
      <c r="H329" s="60"/>
      <c r="I329" s="59"/>
    </row>
    <row r="330" spans="1:9" x14ac:dyDescent="0.25">
      <c r="A330" s="55">
        <v>46351</v>
      </c>
      <c r="B330" s="56" t="s">
        <v>14</v>
      </c>
      <c r="C330" s="62">
        <v>0</v>
      </c>
      <c r="D330" s="62">
        <v>0</v>
      </c>
      <c r="E330" s="62">
        <v>0</v>
      </c>
      <c r="F330" s="62">
        <v>0</v>
      </c>
      <c r="G330" s="57">
        <f t="shared" si="5"/>
        <v>0</v>
      </c>
      <c r="H330" s="60"/>
      <c r="I330" s="59"/>
    </row>
    <row r="331" spans="1:9" x14ac:dyDescent="0.25">
      <c r="A331" s="55">
        <v>46352</v>
      </c>
      <c r="B331" s="56" t="s">
        <v>14</v>
      </c>
      <c r="C331" s="62">
        <v>0</v>
      </c>
      <c r="D331" s="62">
        <v>0</v>
      </c>
      <c r="E331" s="62">
        <v>0</v>
      </c>
      <c r="F331" s="62">
        <v>0</v>
      </c>
      <c r="G331" s="57">
        <f t="shared" si="5"/>
        <v>0</v>
      </c>
      <c r="H331" s="60"/>
      <c r="I331" s="59"/>
    </row>
    <row r="332" spans="1:9" x14ac:dyDescent="0.25">
      <c r="A332" s="55">
        <v>46353</v>
      </c>
      <c r="B332" s="56" t="s">
        <v>14</v>
      </c>
      <c r="C332" s="62">
        <v>0</v>
      </c>
      <c r="D332" s="62">
        <v>0</v>
      </c>
      <c r="E332" s="62">
        <v>0</v>
      </c>
      <c r="F332" s="62">
        <v>0</v>
      </c>
      <c r="G332" s="57">
        <f t="shared" si="5"/>
        <v>0</v>
      </c>
      <c r="H332" s="60"/>
      <c r="I332" s="59"/>
    </row>
    <row r="333" spans="1:9" x14ac:dyDescent="0.25">
      <c r="A333" s="55">
        <v>46354</v>
      </c>
      <c r="B333" s="56" t="s">
        <v>14</v>
      </c>
      <c r="C333" s="62">
        <v>0</v>
      </c>
      <c r="D333" s="62">
        <v>0</v>
      </c>
      <c r="E333" s="62">
        <v>0</v>
      </c>
      <c r="F333" s="62">
        <v>0</v>
      </c>
      <c r="G333" s="57">
        <f t="shared" si="5"/>
        <v>0</v>
      </c>
      <c r="H333" s="60"/>
      <c r="I333" s="59"/>
    </row>
    <row r="334" spans="1:9" x14ac:dyDescent="0.25">
      <c r="A334" s="55">
        <v>46355</v>
      </c>
      <c r="B334" s="56" t="s">
        <v>14</v>
      </c>
      <c r="C334" s="62">
        <v>0</v>
      </c>
      <c r="D334" s="62">
        <v>0</v>
      </c>
      <c r="E334" s="62">
        <v>0</v>
      </c>
      <c r="F334" s="62">
        <v>0</v>
      </c>
      <c r="G334" s="57">
        <f t="shared" si="5"/>
        <v>0</v>
      </c>
      <c r="H334" s="61"/>
      <c r="I334" s="59"/>
    </row>
    <row r="335" spans="1:9" x14ac:dyDescent="0.25">
      <c r="A335" s="55">
        <v>46356</v>
      </c>
      <c r="B335" s="56" t="s">
        <v>14</v>
      </c>
      <c r="C335" s="62">
        <v>0</v>
      </c>
      <c r="D335" s="62">
        <v>0</v>
      </c>
      <c r="E335" s="62">
        <v>0</v>
      </c>
      <c r="F335" s="62">
        <v>0</v>
      </c>
      <c r="G335" s="57">
        <f t="shared" si="5"/>
        <v>0</v>
      </c>
      <c r="H335" s="58">
        <f>SUM(G335:G341)</f>
        <v>0</v>
      </c>
      <c r="I335" s="59"/>
    </row>
    <row r="336" spans="1:9" x14ac:dyDescent="0.25">
      <c r="A336" s="55">
        <v>46357</v>
      </c>
      <c r="B336" s="56" t="s">
        <v>14</v>
      </c>
      <c r="C336" s="62">
        <v>0</v>
      </c>
      <c r="D336" s="62">
        <v>0</v>
      </c>
      <c r="E336" s="62">
        <v>0</v>
      </c>
      <c r="F336" s="62">
        <v>0</v>
      </c>
      <c r="G336" s="57">
        <f t="shared" si="5"/>
        <v>0</v>
      </c>
      <c r="H336" s="60"/>
      <c r="I336" s="59"/>
    </row>
    <row r="337" spans="1:9" x14ac:dyDescent="0.25">
      <c r="A337" s="55">
        <v>46358</v>
      </c>
      <c r="B337" s="56" t="s">
        <v>14</v>
      </c>
      <c r="C337" s="62">
        <v>0</v>
      </c>
      <c r="D337" s="62">
        <v>0</v>
      </c>
      <c r="E337" s="62">
        <v>0</v>
      </c>
      <c r="F337" s="62">
        <v>0</v>
      </c>
      <c r="G337" s="57">
        <f t="shared" si="5"/>
        <v>0</v>
      </c>
      <c r="H337" s="60"/>
      <c r="I337" s="59"/>
    </row>
    <row r="338" spans="1:9" x14ac:dyDescent="0.25">
      <c r="A338" s="55">
        <v>46359</v>
      </c>
      <c r="B338" s="56" t="s">
        <v>14</v>
      </c>
      <c r="C338" s="62">
        <v>0</v>
      </c>
      <c r="D338" s="62">
        <v>0</v>
      </c>
      <c r="E338" s="62">
        <v>0</v>
      </c>
      <c r="F338" s="62">
        <v>0</v>
      </c>
      <c r="G338" s="57">
        <f t="shared" si="5"/>
        <v>0</v>
      </c>
      <c r="H338" s="60"/>
      <c r="I338" s="59"/>
    </row>
    <row r="339" spans="1:9" x14ac:dyDescent="0.25">
      <c r="A339" s="55">
        <v>46360</v>
      </c>
      <c r="B339" s="56" t="s">
        <v>14</v>
      </c>
      <c r="C339" s="62">
        <v>0</v>
      </c>
      <c r="D339" s="62">
        <v>0</v>
      </c>
      <c r="E339" s="62">
        <v>0</v>
      </c>
      <c r="F339" s="62">
        <v>0</v>
      </c>
      <c r="G339" s="57">
        <f t="shared" si="5"/>
        <v>0</v>
      </c>
      <c r="H339" s="60"/>
      <c r="I339" s="59"/>
    </row>
    <row r="340" spans="1:9" x14ac:dyDescent="0.25">
      <c r="A340" s="55">
        <v>46361</v>
      </c>
      <c r="B340" s="56" t="s">
        <v>14</v>
      </c>
      <c r="C340" s="62">
        <v>0</v>
      </c>
      <c r="D340" s="62">
        <v>0</v>
      </c>
      <c r="E340" s="62">
        <v>0</v>
      </c>
      <c r="F340" s="62">
        <v>0</v>
      </c>
      <c r="G340" s="57">
        <f t="shared" si="5"/>
        <v>0</v>
      </c>
      <c r="H340" s="60"/>
      <c r="I340" s="59"/>
    </row>
    <row r="341" spans="1:9" x14ac:dyDescent="0.25">
      <c r="A341" s="55">
        <v>46362</v>
      </c>
      <c r="B341" s="56" t="s">
        <v>14</v>
      </c>
      <c r="C341" s="62">
        <v>0</v>
      </c>
      <c r="D341" s="62">
        <v>0</v>
      </c>
      <c r="E341" s="62">
        <v>0</v>
      </c>
      <c r="F341" s="62">
        <v>0</v>
      </c>
      <c r="G341" s="57">
        <f t="shared" si="5"/>
        <v>0</v>
      </c>
      <c r="H341" s="61"/>
      <c r="I341" s="59"/>
    </row>
    <row r="342" spans="1:9" x14ac:dyDescent="0.25">
      <c r="A342" s="55">
        <v>46363</v>
      </c>
      <c r="B342" s="56" t="s">
        <v>14</v>
      </c>
      <c r="C342" s="62">
        <v>0</v>
      </c>
      <c r="D342" s="62">
        <v>0</v>
      </c>
      <c r="E342" s="62">
        <v>0</v>
      </c>
      <c r="F342" s="62">
        <v>0</v>
      </c>
      <c r="G342" s="57">
        <f t="shared" si="5"/>
        <v>0</v>
      </c>
      <c r="H342" s="58">
        <f>SUM(G342:G348)</f>
        <v>0</v>
      </c>
      <c r="I342" s="59"/>
    </row>
    <row r="343" spans="1:9" x14ac:dyDescent="0.25">
      <c r="A343" s="55">
        <v>46364</v>
      </c>
      <c r="B343" s="56" t="s">
        <v>14</v>
      </c>
      <c r="C343" s="62">
        <v>0</v>
      </c>
      <c r="D343" s="62">
        <v>0</v>
      </c>
      <c r="E343" s="62">
        <v>0</v>
      </c>
      <c r="F343" s="62">
        <v>0</v>
      </c>
      <c r="G343" s="57">
        <f t="shared" si="5"/>
        <v>0</v>
      </c>
      <c r="H343" s="60"/>
      <c r="I343" s="59"/>
    </row>
    <row r="344" spans="1:9" x14ac:dyDescent="0.25">
      <c r="A344" s="55">
        <v>46365</v>
      </c>
      <c r="B344" s="56" t="s">
        <v>14</v>
      </c>
      <c r="C344" s="62">
        <v>0</v>
      </c>
      <c r="D344" s="62">
        <v>0</v>
      </c>
      <c r="E344" s="62">
        <v>0</v>
      </c>
      <c r="F344" s="62">
        <v>0</v>
      </c>
      <c r="G344" s="57">
        <f t="shared" si="5"/>
        <v>0</v>
      </c>
      <c r="H344" s="60"/>
      <c r="I344" s="59"/>
    </row>
    <row r="345" spans="1:9" x14ac:dyDescent="0.25">
      <c r="A345" s="55">
        <v>46366</v>
      </c>
      <c r="B345" s="56" t="s">
        <v>14</v>
      </c>
      <c r="C345" s="62">
        <v>0</v>
      </c>
      <c r="D345" s="62">
        <v>0</v>
      </c>
      <c r="E345" s="62">
        <v>0</v>
      </c>
      <c r="F345" s="62">
        <v>0</v>
      </c>
      <c r="G345" s="57">
        <f t="shared" si="5"/>
        <v>0</v>
      </c>
      <c r="H345" s="60"/>
      <c r="I345" s="59"/>
    </row>
    <row r="346" spans="1:9" x14ac:dyDescent="0.25">
      <c r="A346" s="55">
        <v>46367</v>
      </c>
      <c r="B346" s="56" t="s">
        <v>14</v>
      </c>
      <c r="C346" s="62">
        <v>0</v>
      </c>
      <c r="D346" s="62">
        <v>0</v>
      </c>
      <c r="E346" s="62">
        <v>0</v>
      </c>
      <c r="F346" s="62">
        <v>0</v>
      </c>
      <c r="G346" s="57">
        <f t="shared" si="5"/>
        <v>0</v>
      </c>
      <c r="H346" s="60"/>
      <c r="I346" s="59"/>
    </row>
    <row r="347" spans="1:9" x14ac:dyDescent="0.25">
      <c r="A347" s="55">
        <v>46368</v>
      </c>
      <c r="B347" s="56" t="s">
        <v>14</v>
      </c>
      <c r="C347" s="62">
        <v>0</v>
      </c>
      <c r="D347" s="62">
        <v>0</v>
      </c>
      <c r="E347" s="62">
        <v>0</v>
      </c>
      <c r="F347" s="62">
        <v>0</v>
      </c>
      <c r="G347" s="57">
        <f t="shared" si="5"/>
        <v>0</v>
      </c>
      <c r="H347" s="60"/>
      <c r="I347" s="59"/>
    </row>
    <row r="348" spans="1:9" x14ac:dyDescent="0.25">
      <c r="A348" s="55">
        <v>46369</v>
      </c>
      <c r="B348" s="56" t="s">
        <v>14</v>
      </c>
      <c r="C348" s="62">
        <v>0</v>
      </c>
      <c r="D348" s="62">
        <v>0</v>
      </c>
      <c r="E348" s="62">
        <v>0</v>
      </c>
      <c r="F348" s="62">
        <v>0</v>
      </c>
      <c r="G348" s="57">
        <f t="shared" si="5"/>
        <v>0</v>
      </c>
      <c r="H348" s="61"/>
      <c r="I348" s="59"/>
    </row>
    <row r="349" spans="1:9" x14ac:dyDescent="0.25">
      <c r="A349" s="55">
        <v>46370</v>
      </c>
      <c r="B349" s="56" t="s">
        <v>14</v>
      </c>
      <c r="C349" s="62">
        <v>0</v>
      </c>
      <c r="D349" s="62">
        <v>0</v>
      </c>
      <c r="E349" s="62">
        <v>0</v>
      </c>
      <c r="F349" s="62">
        <v>0</v>
      </c>
      <c r="G349" s="57">
        <f t="shared" si="5"/>
        <v>0</v>
      </c>
      <c r="H349" s="58">
        <f>SUM(G349:G355)</f>
        <v>0</v>
      </c>
      <c r="I349" s="59"/>
    </row>
    <row r="350" spans="1:9" x14ac:dyDescent="0.25">
      <c r="A350" s="55">
        <v>46371</v>
      </c>
      <c r="B350" s="56" t="s">
        <v>14</v>
      </c>
      <c r="C350" s="62">
        <v>0</v>
      </c>
      <c r="D350" s="62">
        <v>0</v>
      </c>
      <c r="E350" s="62">
        <v>0</v>
      </c>
      <c r="F350" s="62">
        <v>0</v>
      </c>
      <c r="G350" s="57">
        <f t="shared" si="5"/>
        <v>0</v>
      </c>
      <c r="H350" s="60"/>
      <c r="I350" s="59"/>
    </row>
    <row r="351" spans="1:9" x14ac:dyDescent="0.25">
      <c r="A351" s="55">
        <v>46372</v>
      </c>
      <c r="B351" s="56" t="s">
        <v>14</v>
      </c>
      <c r="C351" s="62">
        <v>0</v>
      </c>
      <c r="D351" s="62">
        <v>0</v>
      </c>
      <c r="E351" s="62">
        <v>0</v>
      </c>
      <c r="F351" s="62">
        <v>0</v>
      </c>
      <c r="G351" s="57">
        <f t="shared" si="5"/>
        <v>0</v>
      </c>
      <c r="H351" s="60"/>
      <c r="I351" s="59"/>
    </row>
    <row r="352" spans="1:9" x14ac:dyDescent="0.25">
      <c r="A352" s="55">
        <v>46373</v>
      </c>
      <c r="B352" s="56" t="s">
        <v>14</v>
      </c>
      <c r="C352" s="62">
        <v>0</v>
      </c>
      <c r="D352" s="62">
        <v>0</v>
      </c>
      <c r="E352" s="62">
        <v>0</v>
      </c>
      <c r="F352" s="62">
        <v>0</v>
      </c>
      <c r="G352" s="57">
        <f t="shared" si="5"/>
        <v>0</v>
      </c>
      <c r="H352" s="60"/>
      <c r="I352" s="59"/>
    </row>
    <row r="353" spans="1:9" x14ac:dyDescent="0.25">
      <c r="A353" s="55">
        <v>46374</v>
      </c>
      <c r="B353" s="56" t="s">
        <v>14</v>
      </c>
      <c r="C353" s="62">
        <v>0</v>
      </c>
      <c r="D353" s="62">
        <v>0</v>
      </c>
      <c r="E353" s="62">
        <v>0</v>
      </c>
      <c r="F353" s="62">
        <v>0</v>
      </c>
      <c r="G353" s="57">
        <f t="shared" si="5"/>
        <v>0</v>
      </c>
      <c r="H353" s="60"/>
      <c r="I353" s="59"/>
    </row>
    <row r="354" spans="1:9" x14ac:dyDescent="0.25">
      <c r="A354" s="55">
        <v>46375</v>
      </c>
      <c r="B354" s="56" t="s">
        <v>14</v>
      </c>
      <c r="C354" s="62">
        <v>0</v>
      </c>
      <c r="D354" s="62">
        <v>0</v>
      </c>
      <c r="E354" s="62">
        <v>0</v>
      </c>
      <c r="F354" s="62">
        <v>0</v>
      </c>
      <c r="G354" s="57">
        <f t="shared" si="5"/>
        <v>0</v>
      </c>
      <c r="H354" s="60"/>
      <c r="I354" s="59"/>
    </row>
    <row r="355" spans="1:9" x14ac:dyDescent="0.25">
      <c r="A355" s="55">
        <v>46376</v>
      </c>
      <c r="B355" s="56" t="s">
        <v>14</v>
      </c>
      <c r="C355" s="62">
        <v>0</v>
      </c>
      <c r="D355" s="62">
        <v>0</v>
      </c>
      <c r="E355" s="62">
        <v>0</v>
      </c>
      <c r="F355" s="62">
        <v>0</v>
      </c>
      <c r="G355" s="57">
        <f t="shared" si="5"/>
        <v>0</v>
      </c>
      <c r="H355" s="61"/>
      <c r="I355" s="59"/>
    </row>
    <row r="356" spans="1:9" x14ac:dyDescent="0.25">
      <c r="A356" s="55">
        <v>46377</v>
      </c>
      <c r="B356" s="56" t="s">
        <v>14</v>
      </c>
      <c r="C356" s="62">
        <v>0</v>
      </c>
      <c r="D356" s="62">
        <v>0</v>
      </c>
      <c r="E356" s="62">
        <v>0</v>
      </c>
      <c r="F356" s="62">
        <v>0</v>
      </c>
      <c r="G356" s="57">
        <f t="shared" si="5"/>
        <v>0</v>
      </c>
      <c r="H356" s="58">
        <f>SUM(G356:G362)</f>
        <v>0</v>
      </c>
      <c r="I356" s="59"/>
    </row>
    <row r="357" spans="1:9" x14ac:dyDescent="0.25">
      <c r="A357" s="55">
        <v>46378</v>
      </c>
      <c r="B357" s="56" t="s">
        <v>14</v>
      </c>
      <c r="C357" s="62">
        <v>0</v>
      </c>
      <c r="D357" s="62">
        <v>0</v>
      </c>
      <c r="E357" s="62">
        <v>0</v>
      </c>
      <c r="F357" s="62">
        <v>0</v>
      </c>
      <c r="G357" s="57">
        <f t="shared" si="5"/>
        <v>0</v>
      </c>
      <c r="H357" s="60"/>
      <c r="I357" s="59"/>
    </row>
    <row r="358" spans="1:9" x14ac:dyDescent="0.25">
      <c r="A358" s="55">
        <v>46379</v>
      </c>
      <c r="B358" s="56" t="s">
        <v>14</v>
      </c>
      <c r="C358" s="62">
        <v>0</v>
      </c>
      <c r="D358" s="62">
        <v>0</v>
      </c>
      <c r="E358" s="62">
        <v>0</v>
      </c>
      <c r="F358" s="62">
        <v>0</v>
      </c>
      <c r="G358" s="57">
        <f t="shared" si="5"/>
        <v>0</v>
      </c>
      <c r="H358" s="60"/>
      <c r="I358" s="59"/>
    </row>
    <row r="359" spans="1:9" x14ac:dyDescent="0.25">
      <c r="A359" s="55">
        <v>46380</v>
      </c>
      <c r="B359" s="56" t="s">
        <v>14</v>
      </c>
      <c r="C359" s="62">
        <v>0</v>
      </c>
      <c r="D359" s="62">
        <v>0</v>
      </c>
      <c r="E359" s="62">
        <v>0</v>
      </c>
      <c r="F359" s="62">
        <v>0</v>
      </c>
      <c r="G359" s="57">
        <f t="shared" si="5"/>
        <v>0</v>
      </c>
      <c r="H359" s="60"/>
      <c r="I359" s="59"/>
    </row>
    <row r="360" spans="1:9" x14ac:dyDescent="0.25">
      <c r="A360" s="55">
        <v>46381</v>
      </c>
      <c r="B360" s="56" t="s">
        <v>14</v>
      </c>
      <c r="C360" s="62">
        <v>0</v>
      </c>
      <c r="D360" s="62">
        <v>0</v>
      </c>
      <c r="E360" s="62">
        <v>0</v>
      </c>
      <c r="F360" s="62">
        <v>0</v>
      </c>
      <c r="G360" s="57">
        <f t="shared" si="5"/>
        <v>0</v>
      </c>
      <c r="H360" s="60"/>
      <c r="I360" s="59"/>
    </row>
    <row r="361" spans="1:9" x14ac:dyDescent="0.25">
      <c r="A361" s="55">
        <v>46382</v>
      </c>
      <c r="B361" s="56" t="s">
        <v>14</v>
      </c>
      <c r="C361" s="62">
        <v>0</v>
      </c>
      <c r="D361" s="62">
        <v>0</v>
      </c>
      <c r="E361" s="62">
        <v>0</v>
      </c>
      <c r="F361" s="62">
        <v>0</v>
      </c>
      <c r="G361" s="57">
        <f t="shared" si="5"/>
        <v>0</v>
      </c>
      <c r="H361" s="60"/>
      <c r="I361" s="59"/>
    </row>
    <row r="362" spans="1:9" x14ac:dyDescent="0.25">
      <c r="A362" s="55">
        <v>46383</v>
      </c>
      <c r="B362" s="56" t="s">
        <v>14</v>
      </c>
      <c r="C362" s="62">
        <v>0</v>
      </c>
      <c r="D362" s="62">
        <v>0</v>
      </c>
      <c r="E362" s="62">
        <v>0</v>
      </c>
      <c r="F362" s="62">
        <v>0</v>
      </c>
      <c r="G362" s="57">
        <f t="shared" si="5"/>
        <v>0</v>
      </c>
      <c r="H362" s="61"/>
      <c r="I362" s="59"/>
    </row>
    <row r="363" spans="1:9" x14ac:dyDescent="0.25">
      <c r="A363" s="55">
        <v>46384</v>
      </c>
      <c r="B363" s="56" t="s">
        <v>14</v>
      </c>
      <c r="C363" s="62">
        <v>0</v>
      </c>
      <c r="D363" s="62">
        <v>0</v>
      </c>
      <c r="E363" s="62">
        <v>0</v>
      </c>
      <c r="F363" s="62">
        <v>0</v>
      </c>
      <c r="G363" s="57">
        <f t="shared" si="5"/>
        <v>0</v>
      </c>
      <c r="H363" s="63"/>
      <c r="I363" s="59"/>
    </row>
    <row r="364" spans="1:9" x14ac:dyDescent="0.25">
      <c r="A364" s="55">
        <v>46385</v>
      </c>
      <c r="B364" s="56" t="s">
        <v>14</v>
      </c>
      <c r="C364" s="62">
        <v>0</v>
      </c>
      <c r="D364" s="62">
        <v>0</v>
      </c>
      <c r="E364" s="62">
        <v>0</v>
      </c>
      <c r="F364" s="62">
        <v>0</v>
      </c>
      <c r="G364" s="57">
        <f t="shared" si="5"/>
        <v>0</v>
      </c>
      <c r="H364" s="63"/>
      <c r="I364" s="59"/>
    </row>
    <row r="365" spans="1:9" x14ac:dyDescent="0.25">
      <c r="A365" s="55">
        <v>46386</v>
      </c>
      <c r="B365" s="56" t="s">
        <v>14</v>
      </c>
      <c r="C365" s="62">
        <v>0</v>
      </c>
      <c r="D365" s="62">
        <v>0</v>
      </c>
      <c r="E365" s="62">
        <v>0</v>
      </c>
      <c r="F365" s="62">
        <v>0</v>
      </c>
      <c r="G365" s="57">
        <f t="shared" si="5"/>
        <v>0</v>
      </c>
      <c r="H365" s="63"/>
      <c r="I365" s="59"/>
    </row>
    <row r="366" spans="1:9" x14ac:dyDescent="0.25">
      <c r="A366" s="55">
        <v>46387</v>
      </c>
      <c r="B366" s="56" t="s">
        <v>14</v>
      </c>
      <c r="C366" s="62">
        <v>0</v>
      </c>
      <c r="D366" s="62">
        <v>0</v>
      </c>
      <c r="E366" s="62">
        <v>0</v>
      </c>
      <c r="F366" s="62">
        <v>0</v>
      </c>
      <c r="G366" s="57">
        <f t="shared" si="5"/>
        <v>0</v>
      </c>
      <c r="H366" s="63"/>
      <c r="I366" s="59"/>
    </row>
    <row r="367" spans="1:9" x14ac:dyDescent="0.25">
      <c r="A367" s="55">
        <v>46388</v>
      </c>
      <c r="B367" s="56" t="s">
        <v>14</v>
      </c>
      <c r="C367" s="62">
        <v>0</v>
      </c>
      <c r="D367" s="62">
        <v>0</v>
      </c>
      <c r="E367" s="62">
        <v>0</v>
      </c>
      <c r="F367" s="62">
        <v>0</v>
      </c>
      <c r="G367" s="57">
        <f t="shared" si="5"/>
        <v>0</v>
      </c>
      <c r="H367" s="63"/>
      <c r="I367" s="62"/>
    </row>
    <row r="368" spans="1:8" x14ac:dyDescent="0.25">
      <c r="H368" s="5"/>
    </row>
    <row r="369" spans="1:8" x14ac:dyDescent="0.25">
      <c r="H369" s="5"/>
    </row>
    <row r="370" spans="1:8" x14ac:dyDescent="0.25">
      <c r="H370" s="5"/>
    </row>
    <row r="371" spans="1:8" x14ac:dyDescent="0.25">
      <c r="H371" s="5"/>
    </row>
    <row r="372" spans="1:8" x14ac:dyDescent="0.25">
      <c r="H372" s="5"/>
    </row>
    <row r="373" spans="1:8" x14ac:dyDescent="0.25">
      <c r="H373" s="5"/>
    </row>
    <row r="374" spans="1:8" x14ac:dyDescent="0.25">
      <c r="H374" s="5"/>
    </row>
    <row r="375" spans="1:8" x14ac:dyDescent="0.25">
      <c r="H375" s="5"/>
    </row>
    <row r="376" spans="1:8" x14ac:dyDescent="0.25">
      <c r="H376" s="5"/>
    </row>
    <row r="377" spans="1:8" x14ac:dyDescent="0.25">
      <c r="H377" s="5"/>
    </row>
    <row r="378" spans="1:8" x14ac:dyDescent="0.25">
      <c r="H378" s="5"/>
    </row>
    <row r="379" spans="1:8" x14ac:dyDescent="0.25">
      <c r="H379" s="5"/>
    </row>
  </sheetData>
  <mergeCells count="64">
    <mergeCell ref="H2:H5"/>
    <mergeCell ref="I2:I60"/>
    <mergeCell ref="K4:O12"/>
    <mergeCell ref="H6:H12"/>
    <mergeCell ref="H13:H19"/>
    <mergeCell ref="H20:H26"/>
    <mergeCell ref="H27:H33"/>
    <mergeCell ref="H34:H40"/>
    <mergeCell ref="H41:H47"/>
    <mergeCell ref="H48:H54"/>
    <mergeCell ref="H55:H61"/>
    <mergeCell ref="I61:I91"/>
    <mergeCell ref="H62:H68"/>
    <mergeCell ref="H69:H75"/>
    <mergeCell ref="H76:H82"/>
    <mergeCell ref="H83:H89"/>
    <mergeCell ref="H90:H96"/>
    <mergeCell ref="I92:I121"/>
    <mergeCell ref="H97:H103"/>
    <mergeCell ref="H104:H110"/>
    <mergeCell ref="H111:H117"/>
    <mergeCell ref="H118:H124"/>
    <mergeCell ref="I122:I152"/>
    <mergeCell ref="H125:H131"/>
    <mergeCell ref="H132:H138"/>
    <mergeCell ref="H139:H145"/>
    <mergeCell ref="H146:H152"/>
    <mergeCell ref="H153:H159"/>
    <mergeCell ref="I153:I182"/>
    <mergeCell ref="H160:H166"/>
    <mergeCell ref="H167:H173"/>
    <mergeCell ref="H174:H180"/>
    <mergeCell ref="H181:H187"/>
    <mergeCell ref="I183:I213"/>
    <mergeCell ref="H188:H194"/>
    <mergeCell ref="H195:H201"/>
    <mergeCell ref="H202:H208"/>
    <mergeCell ref="H209:H215"/>
    <mergeCell ref="I214:I244"/>
    <mergeCell ref="H216:H222"/>
    <mergeCell ref="H223:H229"/>
    <mergeCell ref="H230:H236"/>
    <mergeCell ref="H237:H243"/>
    <mergeCell ref="H244:H250"/>
    <mergeCell ref="I245:I274"/>
    <mergeCell ref="H251:H257"/>
    <mergeCell ref="H258:H264"/>
    <mergeCell ref="H265:H271"/>
    <mergeCell ref="H272:H278"/>
    <mergeCell ref="I275:I305"/>
    <mergeCell ref="H279:H285"/>
    <mergeCell ref="H286:H292"/>
    <mergeCell ref="H293:H299"/>
    <mergeCell ref="H300:H306"/>
    <mergeCell ref="I306:I335"/>
    <mergeCell ref="H307:H313"/>
    <mergeCell ref="H314:H320"/>
    <mergeCell ref="H321:H327"/>
    <mergeCell ref="H328:H334"/>
    <mergeCell ref="H335:H341"/>
    <mergeCell ref="I336:I366"/>
    <mergeCell ref="H342:H348"/>
    <mergeCell ref="H349:H355"/>
    <mergeCell ref="H356:H3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7"/>
  <sheetViews>
    <sheetView workbookViewId="0" zoomScale="100" zoomScaleNormal="100">
      <selection activeCell="C124" sqref="C124"/>
    </sheetView>
  </sheetViews>
  <sheetFormatPr defaultRowHeight="15" outlineLevelRow="0" outlineLevelCol="0" x14ac:dyDescent="0"/>
  <cols>
    <col min="1" max="1" width="10.42578125" style="64" customWidth="1"/>
    <col min="2" max="2" width="22.7109375" style="64" customWidth="1"/>
    <col min="3" max="3" width="5.42578125" style="64" customWidth="1"/>
    <col min="4" max="4" width="7.42578125" style="64" customWidth="1"/>
    <col min="5" max="5" width="24.7109375" style="64" customWidth="1"/>
    <col min="6" max="6" width="5" style="64" customWidth="1"/>
    <col min="7" max="7" width="11.85546875" style="64" customWidth="1"/>
    <col min="8" max="9" width="11.42578125" style="64" customWidth="1"/>
    <col min="10" max="16384" width="9.140625" style="64" customWidth="1"/>
  </cols>
  <sheetData>
    <row r="1" spans="1:9" x14ac:dyDescent="0.25">
      <c r="A1" s="53" t="s">
        <v>96</v>
      </c>
      <c r="B1" s="53" t="s">
        <v>0</v>
      </c>
      <c r="C1" s="53" t="s">
        <v>97</v>
      </c>
      <c r="D1" s="53" t="s">
        <v>98</v>
      </c>
      <c r="E1" s="53" t="s">
        <v>99</v>
      </c>
      <c r="F1" s="53" t="s">
        <v>100</v>
      </c>
      <c r="G1" s="54" t="s">
        <v>101</v>
      </c>
      <c r="H1" s="65" t="s">
        <v>102</v>
      </c>
      <c r="I1" s="53" t="s">
        <v>103</v>
      </c>
    </row>
    <row r="2" spans="1:9" x14ac:dyDescent="0.25">
      <c r="A2" s="55">
        <v>46023</v>
      </c>
      <c r="B2" s="56" t="s">
        <v>43</v>
      </c>
      <c r="C2" s="56">
        <v>6</v>
      </c>
      <c r="D2" s="56">
        <v>2</v>
      </c>
      <c r="E2" s="56">
        <v>0</v>
      </c>
      <c r="F2" s="56">
        <v>0</v>
      </c>
      <c r="G2" s="57">
        <f>SUM(F2,E2,C2-D2)</f>
        <v>4</v>
      </c>
      <c r="H2" s="58">
        <f>SUM(G2:G5)</f>
        <v>22</v>
      </c>
      <c r="I2" s="59"/>
    </row>
    <row r="3" spans="1:9" x14ac:dyDescent="0.25">
      <c r="A3" s="55">
        <v>46024</v>
      </c>
      <c r="B3" s="56" t="s">
        <v>43</v>
      </c>
      <c r="C3" s="56">
        <v>8</v>
      </c>
      <c r="D3" s="56">
        <v>1</v>
      </c>
      <c r="E3" s="56">
        <v>0</v>
      </c>
      <c r="F3" s="56">
        <v>0</v>
      </c>
      <c r="G3" s="57">
        <f t="shared" ref="G3:G66" si="0">SUM(F3,E3,C3-D3)</f>
        <v>7</v>
      </c>
      <c r="H3" s="60"/>
      <c r="I3" s="59"/>
    </row>
    <row r="4" spans="1:9" x14ac:dyDescent="0.25">
      <c r="A4" s="55">
        <v>46025</v>
      </c>
      <c r="B4" s="56" t="s">
        <v>43</v>
      </c>
      <c r="C4" s="56">
        <v>5</v>
      </c>
      <c r="D4" s="56">
        <v>2</v>
      </c>
      <c r="E4" s="56">
        <v>0</v>
      </c>
      <c r="F4" s="56">
        <v>0</v>
      </c>
      <c r="G4" s="57">
        <f t="shared" si="0"/>
        <v>3</v>
      </c>
      <c r="H4" s="60"/>
      <c r="I4" s="59"/>
    </row>
    <row r="5" spans="1:9" x14ac:dyDescent="0.25">
      <c r="A5" s="55">
        <v>46026</v>
      </c>
      <c r="B5" s="56" t="s">
        <v>43</v>
      </c>
      <c r="C5" s="56">
        <v>8</v>
      </c>
      <c r="D5" s="56">
        <v>0</v>
      </c>
      <c r="E5" s="56">
        <v>0</v>
      </c>
      <c r="F5" s="56">
        <v>0</v>
      </c>
      <c r="G5" s="57">
        <f t="shared" si="0"/>
        <v>8</v>
      </c>
      <c r="H5" s="61"/>
      <c r="I5" s="59"/>
    </row>
    <row r="6" spans="1:9" x14ac:dyDescent="0.25">
      <c r="A6" s="55">
        <v>46027</v>
      </c>
      <c r="B6" s="56" t="s">
        <v>43</v>
      </c>
      <c r="C6" s="56">
        <v>7</v>
      </c>
      <c r="D6" s="56">
        <v>3</v>
      </c>
      <c r="E6" s="56">
        <v>0</v>
      </c>
      <c r="F6" s="56">
        <v>0</v>
      </c>
      <c r="G6" s="57">
        <f t="shared" si="0"/>
        <v>4</v>
      </c>
      <c r="H6" s="58">
        <f>SUM(G6:G12)</f>
        <v>22</v>
      </c>
      <c r="I6" s="59"/>
    </row>
    <row r="7" spans="1:9" x14ac:dyDescent="0.25">
      <c r="A7" s="55">
        <v>46028</v>
      </c>
      <c r="B7" s="56" t="s">
        <v>43</v>
      </c>
      <c r="C7" s="56">
        <v>3</v>
      </c>
      <c r="D7" s="56">
        <v>0</v>
      </c>
      <c r="E7" s="56">
        <v>0</v>
      </c>
      <c r="F7" s="56">
        <v>0</v>
      </c>
      <c r="G7" s="57">
        <f t="shared" si="0"/>
        <v>3</v>
      </c>
      <c r="H7" s="60"/>
      <c r="I7" s="59"/>
    </row>
    <row r="8" spans="1:15" x14ac:dyDescent="0.25">
      <c r="A8" s="55">
        <v>46029</v>
      </c>
      <c r="B8" s="56" t="s">
        <v>43</v>
      </c>
      <c r="C8" s="56">
        <v>2</v>
      </c>
      <c r="D8" s="56">
        <v>0</v>
      </c>
      <c r="E8" s="56">
        <v>0</v>
      </c>
      <c r="F8" s="56">
        <v>0</v>
      </c>
      <c r="G8" s="57">
        <f t="shared" si="0"/>
        <v>2</v>
      </c>
      <c r="H8" s="60"/>
      <c r="I8" s="59"/>
      <c r="K8" s="15" t="s">
        <v>104</v>
      </c>
      <c r="L8" s="16"/>
      <c r="M8" s="16"/>
      <c r="N8" s="16"/>
      <c r="O8" s="16"/>
    </row>
    <row r="9" spans="1:15" x14ac:dyDescent="0.25">
      <c r="A9" s="55">
        <v>46030</v>
      </c>
      <c r="B9" s="56" t="s">
        <v>43</v>
      </c>
      <c r="C9" s="56">
        <v>3</v>
      </c>
      <c r="D9" s="56">
        <v>0</v>
      </c>
      <c r="E9" s="56">
        <v>0</v>
      </c>
      <c r="F9" s="56">
        <v>0</v>
      </c>
      <c r="G9" s="57">
        <f t="shared" si="0"/>
        <v>3</v>
      </c>
      <c r="H9" s="60"/>
      <c r="I9" s="59"/>
      <c r="K9" s="16"/>
      <c r="L9" s="16"/>
      <c r="M9" s="16"/>
      <c r="N9" s="16"/>
      <c r="O9" s="16"/>
    </row>
    <row r="10" spans="1:15" x14ac:dyDescent="0.25">
      <c r="A10" s="55">
        <v>46031</v>
      </c>
      <c r="B10" s="56" t="s">
        <v>43</v>
      </c>
      <c r="C10" s="56">
        <v>3</v>
      </c>
      <c r="D10" s="56">
        <v>1</v>
      </c>
      <c r="E10" s="56">
        <v>0</v>
      </c>
      <c r="F10" s="56">
        <v>0</v>
      </c>
      <c r="G10" s="57">
        <f t="shared" si="0"/>
        <v>2</v>
      </c>
      <c r="H10" s="60"/>
      <c r="I10" s="59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43</v>
      </c>
      <c r="C11" s="56">
        <v>5</v>
      </c>
      <c r="D11" s="56">
        <v>0</v>
      </c>
      <c r="E11" s="56">
        <v>0</v>
      </c>
      <c r="F11" s="56">
        <v>0</v>
      </c>
      <c r="G11" s="57">
        <f t="shared" si="0"/>
        <v>5</v>
      </c>
      <c r="H11" s="60"/>
      <c r="I11" s="59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43</v>
      </c>
      <c r="C12" s="56">
        <v>4</v>
      </c>
      <c r="D12" s="56">
        <v>1</v>
      </c>
      <c r="E12" s="56">
        <v>0</v>
      </c>
      <c r="F12" s="56">
        <v>0</v>
      </c>
      <c r="G12" s="57">
        <f t="shared" si="0"/>
        <v>3</v>
      </c>
      <c r="H12" s="61"/>
      <c r="I12" s="59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43</v>
      </c>
      <c r="C13" s="56">
        <v>6</v>
      </c>
      <c r="D13" s="56">
        <v>0</v>
      </c>
      <c r="E13" s="56">
        <v>0</v>
      </c>
      <c r="F13" s="56">
        <v>0</v>
      </c>
      <c r="G13" s="57">
        <f t="shared" si="0"/>
        <v>6</v>
      </c>
      <c r="H13" s="58">
        <f>SUM(G13:G19)</f>
        <v>23</v>
      </c>
      <c r="I13" s="59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43</v>
      </c>
      <c r="C14" s="56">
        <v>3</v>
      </c>
      <c r="D14" s="56">
        <v>2</v>
      </c>
      <c r="E14" s="56">
        <v>0</v>
      </c>
      <c r="F14" s="56">
        <v>0</v>
      </c>
      <c r="G14" s="57">
        <f t="shared" si="0"/>
        <v>1</v>
      </c>
      <c r="H14" s="60"/>
      <c r="I14" s="59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43</v>
      </c>
      <c r="C15" s="56">
        <v>4</v>
      </c>
      <c r="D15" s="56">
        <v>0</v>
      </c>
      <c r="E15" s="56">
        <v>0</v>
      </c>
      <c r="F15" s="56">
        <v>0</v>
      </c>
      <c r="G15" s="57">
        <f t="shared" si="0"/>
        <v>4</v>
      </c>
      <c r="H15" s="60"/>
      <c r="I15" s="59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43</v>
      </c>
      <c r="C16" s="56">
        <v>5</v>
      </c>
      <c r="D16" s="56">
        <v>1</v>
      </c>
      <c r="E16" s="56">
        <v>0</v>
      </c>
      <c r="F16" s="56">
        <v>0</v>
      </c>
      <c r="G16" s="57">
        <f t="shared" si="0"/>
        <v>4</v>
      </c>
      <c r="H16" s="60"/>
      <c r="I16" s="59"/>
      <c r="K16" s="16"/>
      <c r="L16" s="16"/>
      <c r="M16" s="16"/>
      <c r="N16" s="16"/>
      <c r="O16" s="16"/>
    </row>
    <row r="17" spans="1:9" x14ac:dyDescent="0.25">
      <c r="A17" s="55">
        <v>46038</v>
      </c>
      <c r="B17" s="56" t="s">
        <v>43</v>
      </c>
      <c r="C17" s="56">
        <v>4</v>
      </c>
      <c r="D17" s="56">
        <v>1</v>
      </c>
      <c r="E17" s="56">
        <v>0</v>
      </c>
      <c r="F17" s="56">
        <v>0</v>
      </c>
      <c r="G17" s="57">
        <f t="shared" si="0"/>
        <v>3</v>
      </c>
      <c r="H17" s="60"/>
      <c r="I17" s="59"/>
    </row>
    <row r="18" spans="1:9" x14ac:dyDescent="0.25">
      <c r="A18" s="55">
        <v>46039</v>
      </c>
      <c r="B18" s="56" t="s">
        <v>43</v>
      </c>
      <c r="C18" s="56">
        <v>5</v>
      </c>
      <c r="D18" s="56">
        <v>1</v>
      </c>
      <c r="E18" s="56">
        <v>0</v>
      </c>
      <c r="F18" s="56">
        <v>0</v>
      </c>
      <c r="G18" s="57">
        <f t="shared" si="0"/>
        <v>4</v>
      </c>
      <c r="H18" s="60"/>
      <c r="I18" s="59"/>
    </row>
    <row r="19" spans="1:9" x14ac:dyDescent="0.25">
      <c r="A19" s="55">
        <v>46040</v>
      </c>
      <c r="B19" s="56" t="s">
        <v>43</v>
      </c>
      <c r="C19" s="56">
        <v>1</v>
      </c>
      <c r="D19" s="56">
        <v>0</v>
      </c>
      <c r="E19" s="56">
        <v>0</v>
      </c>
      <c r="F19" s="56">
        <v>0</v>
      </c>
      <c r="G19" s="57">
        <f t="shared" si="0"/>
        <v>1</v>
      </c>
      <c r="H19" s="61"/>
      <c r="I19" s="59"/>
    </row>
    <row r="20" spans="1:9" x14ac:dyDescent="0.25">
      <c r="A20" s="55">
        <v>46041</v>
      </c>
      <c r="B20" s="56" t="s">
        <v>43</v>
      </c>
      <c r="C20" s="56">
        <v>0</v>
      </c>
      <c r="D20" s="56">
        <v>1</v>
      </c>
      <c r="E20" s="56">
        <v>0</v>
      </c>
      <c r="F20" s="56">
        <v>0</v>
      </c>
      <c r="G20" s="57">
        <f t="shared" si="0"/>
        <v>-1</v>
      </c>
      <c r="H20" s="58">
        <f>SUM(G20:G26)</f>
        <v>20</v>
      </c>
      <c r="I20" s="59"/>
    </row>
    <row r="21" spans="1:9" x14ac:dyDescent="0.25">
      <c r="A21" s="55">
        <v>46042</v>
      </c>
      <c r="B21" s="56" t="s">
        <v>43</v>
      </c>
      <c r="C21" s="56">
        <v>5</v>
      </c>
      <c r="D21" s="56">
        <v>1</v>
      </c>
      <c r="E21" s="56">
        <v>0</v>
      </c>
      <c r="F21" s="56">
        <v>0</v>
      </c>
      <c r="G21" s="57">
        <f t="shared" si="0"/>
        <v>4</v>
      </c>
      <c r="H21" s="60"/>
      <c r="I21" s="59"/>
    </row>
    <row r="22" spans="1:9" x14ac:dyDescent="0.25">
      <c r="A22" s="55">
        <v>46043</v>
      </c>
      <c r="B22" s="56" t="s">
        <v>43</v>
      </c>
      <c r="C22" s="56">
        <v>4</v>
      </c>
      <c r="D22" s="56">
        <v>0</v>
      </c>
      <c r="E22" s="56">
        <v>0</v>
      </c>
      <c r="F22" s="56">
        <v>0</v>
      </c>
      <c r="G22" s="57">
        <f t="shared" si="0"/>
        <v>4</v>
      </c>
      <c r="H22" s="60"/>
      <c r="I22" s="59"/>
    </row>
    <row r="23" spans="1:9" x14ac:dyDescent="0.25">
      <c r="A23" s="55">
        <v>46044</v>
      </c>
      <c r="B23" s="56" t="s">
        <v>43</v>
      </c>
      <c r="C23" s="56">
        <v>7</v>
      </c>
      <c r="D23" s="56">
        <v>2</v>
      </c>
      <c r="E23" s="56">
        <v>0</v>
      </c>
      <c r="F23" s="56">
        <v>0</v>
      </c>
      <c r="G23" s="57">
        <f t="shared" si="0"/>
        <v>5</v>
      </c>
      <c r="H23" s="60"/>
      <c r="I23" s="59"/>
    </row>
    <row r="24" spans="1:9" x14ac:dyDescent="0.25">
      <c r="A24" s="55">
        <v>46045</v>
      </c>
      <c r="B24" s="56" t="s">
        <v>43</v>
      </c>
      <c r="C24" s="56">
        <v>2</v>
      </c>
      <c r="D24" s="56">
        <v>1</v>
      </c>
      <c r="E24" s="56">
        <v>0</v>
      </c>
      <c r="F24" s="56">
        <v>0</v>
      </c>
      <c r="G24" s="57">
        <f t="shared" si="0"/>
        <v>1</v>
      </c>
      <c r="H24" s="60"/>
      <c r="I24" s="59"/>
    </row>
    <row r="25" spans="1:9" x14ac:dyDescent="0.25">
      <c r="A25" s="55">
        <v>46046</v>
      </c>
      <c r="B25" s="56" t="s">
        <v>43</v>
      </c>
      <c r="C25" s="56">
        <v>4</v>
      </c>
      <c r="D25" s="56">
        <v>0</v>
      </c>
      <c r="E25" s="56">
        <v>0</v>
      </c>
      <c r="F25" s="56">
        <v>0</v>
      </c>
      <c r="G25" s="57">
        <f t="shared" si="0"/>
        <v>4</v>
      </c>
      <c r="H25" s="60"/>
      <c r="I25" s="59"/>
    </row>
    <row r="26" spans="1:9" x14ac:dyDescent="0.25">
      <c r="A26" s="55">
        <v>46047</v>
      </c>
      <c r="B26" s="56" t="s">
        <v>43</v>
      </c>
      <c r="C26" s="56">
        <v>4</v>
      </c>
      <c r="D26" s="56">
        <v>1</v>
      </c>
      <c r="E26" s="56">
        <v>0</v>
      </c>
      <c r="F26" s="56">
        <v>0</v>
      </c>
      <c r="G26" s="57">
        <f t="shared" si="0"/>
        <v>3</v>
      </c>
      <c r="H26" s="61"/>
      <c r="I26" s="59"/>
    </row>
    <row r="27" spans="1:9" x14ac:dyDescent="0.25">
      <c r="A27" s="55">
        <v>46048</v>
      </c>
      <c r="B27" s="56" t="s">
        <v>43</v>
      </c>
      <c r="C27" s="56">
        <v>3</v>
      </c>
      <c r="D27" s="56">
        <v>1</v>
      </c>
      <c r="E27" s="56">
        <v>0</v>
      </c>
      <c r="F27" s="56">
        <v>0</v>
      </c>
      <c r="G27" s="57">
        <f t="shared" si="0"/>
        <v>2</v>
      </c>
      <c r="H27" s="58">
        <f>SUM(G27:G33)</f>
        <v>286</v>
      </c>
      <c r="I27" s="59"/>
    </row>
    <row r="28" spans="1:9" x14ac:dyDescent="0.25">
      <c r="A28" s="55">
        <v>46049</v>
      </c>
      <c r="B28" s="56" t="s">
        <v>43</v>
      </c>
      <c r="C28" s="56">
        <v>2</v>
      </c>
      <c r="D28" s="56">
        <v>1</v>
      </c>
      <c r="E28" s="56">
        <v>1</v>
      </c>
      <c r="F28" s="56">
        <v>0</v>
      </c>
      <c r="G28" s="57">
        <f t="shared" si="0"/>
        <v>2</v>
      </c>
      <c r="H28" s="60"/>
      <c r="I28" s="59"/>
    </row>
    <row r="29" spans="1:9" x14ac:dyDescent="0.25">
      <c r="A29" s="55">
        <v>46050</v>
      </c>
      <c r="B29" s="56" t="s">
        <v>43</v>
      </c>
      <c r="C29" s="56">
        <v>119</v>
      </c>
      <c r="D29" s="56">
        <v>4</v>
      </c>
      <c r="E29" s="56">
        <v>0</v>
      </c>
      <c r="F29" s="56">
        <v>0</v>
      </c>
      <c r="G29" s="57">
        <f t="shared" si="0"/>
        <v>115</v>
      </c>
      <c r="H29" s="60"/>
      <c r="I29" s="59"/>
    </row>
    <row r="30" spans="1:9" x14ac:dyDescent="0.25">
      <c r="A30" s="55">
        <v>46051</v>
      </c>
      <c r="B30" s="56" t="s">
        <v>43</v>
      </c>
      <c r="C30" s="56">
        <v>101</v>
      </c>
      <c r="D30" s="56">
        <v>2</v>
      </c>
      <c r="E30" s="56">
        <v>0</v>
      </c>
      <c r="F30" s="56">
        <v>0</v>
      </c>
      <c r="G30" s="57">
        <f t="shared" si="0"/>
        <v>99</v>
      </c>
      <c r="H30" s="60"/>
      <c r="I30" s="59"/>
    </row>
    <row r="31" spans="1:9" x14ac:dyDescent="0.25">
      <c r="A31" s="55">
        <v>46052</v>
      </c>
      <c r="B31" s="56" t="s">
        <v>43</v>
      </c>
      <c r="C31" s="56">
        <v>27</v>
      </c>
      <c r="D31" s="56">
        <v>0</v>
      </c>
      <c r="E31" s="56">
        <v>0</v>
      </c>
      <c r="F31" s="56">
        <v>0</v>
      </c>
      <c r="G31" s="57">
        <f t="shared" si="0"/>
        <v>27</v>
      </c>
      <c r="H31" s="60"/>
      <c r="I31" s="59"/>
    </row>
    <row r="32" spans="1:9" x14ac:dyDescent="0.25">
      <c r="A32" s="55">
        <v>46053</v>
      </c>
      <c r="B32" s="56" t="s">
        <v>43</v>
      </c>
      <c r="C32" s="56">
        <v>25</v>
      </c>
      <c r="D32" s="56">
        <v>1</v>
      </c>
      <c r="E32" s="56">
        <v>0</v>
      </c>
      <c r="F32" s="56">
        <v>0</v>
      </c>
      <c r="G32" s="57">
        <f t="shared" si="0"/>
        <v>24</v>
      </c>
      <c r="H32" s="60"/>
      <c r="I32" s="59"/>
    </row>
    <row r="33" spans="1:9" x14ac:dyDescent="0.25">
      <c r="A33" s="55">
        <v>46054</v>
      </c>
      <c r="B33" s="56" t="s">
        <v>43</v>
      </c>
      <c r="C33" s="56">
        <v>18</v>
      </c>
      <c r="D33" s="56">
        <v>1</v>
      </c>
      <c r="E33" s="56">
        <v>0</v>
      </c>
      <c r="F33" s="56">
        <v>0</v>
      </c>
      <c r="G33" s="57">
        <f t="shared" si="0"/>
        <v>17</v>
      </c>
      <c r="H33" s="61"/>
      <c r="I33" s="59"/>
    </row>
    <row r="34" spans="1:9" x14ac:dyDescent="0.25">
      <c r="A34" s="55">
        <v>46055</v>
      </c>
      <c r="B34" s="56" t="s">
        <v>43</v>
      </c>
      <c r="C34" s="56">
        <v>29</v>
      </c>
      <c r="D34" s="56">
        <v>0</v>
      </c>
      <c r="E34" s="56">
        <v>0</v>
      </c>
      <c r="F34" s="56">
        <v>0</v>
      </c>
      <c r="G34" s="57">
        <f t="shared" si="0"/>
        <v>29</v>
      </c>
      <c r="H34" s="58">
        <f>SUM(G34:G40)</f>
        <v>90</v>
      </c>
      <c r="I34" s="59"/>
    </row>
    <row r="35" spans="1:9" x14ac:dyDescent="0.25">
      <c r="A35" s="55">
        <v>46056</v>
      </c>
      <c r="B35" s="56" t="s">
        <v>43</v>
      </c>
      <c r="C35" s="56">
        <v>16</v>
      </c>
      <c r="D35" s="56">
        <v>1</v>
      </c>
      <c r="E35" s="56">
        <v>0</v>
      </c>
      <c r="F35" s="56">
        <v>0</v>
      </c>
      <c r="G35" s="57">
        <f t="shared" si="0"/>
        <v>15</v>
      </c>
      <c r="H35" s="60"/>
      <c r="I35" s="59"/>
    </row>
    <row r="36" spans="1:9" x14ac:dyDescent="0.25">
      <c r="A36" s="55">
        <v>46057</v>
      </c>
      <c r="B36" s="56" t="s">
        <v>43</v>
      </c>
      <c r="C36" s="56">
        <v>13</v>
      </c>
      <c r="D36" s="56">
        <v>0</v>
      </c>
      <c r="E36" s="56">
        <v>0</v>
      </c>
      <c r="F36" s="56">
        <v>0</v>
      </c>
      <c r="G36" s="57">
        <f t="shared" si="0"/>
        <v>13</v>
      </c>
      <c r="H36" s="60"/>
      <c r="I36" s="59"/>
    </row>
    <row r="37" spans="1:9" x14ac:dyDescent="0.25">
      <c r="A37" s="55">
        <v>46058</v>
      </c>
      <c r="B37" s="56" t="s">
        <v>43</v>
      </c>
      <c r="C37" s="56">
        <v>12</v>
      </c>
      <c r="D37" s="56">
        <v>0</v>
      </c>
      <c r="E37" s="56">
        <v>0</v>
      </c>
      <c r="F37" s="56">
        <v>0</v>
      </c>
      <c r="G37" s="57">
        <f t="shared" si="0"/>
        <v>12</v>
      </c>
      <c r="H37" s="60"/>
      <c r="I37" s="59"/>
    </row>
    <row r="38" spans="1:9" x14ac:dyDescent="0.25">
      <c r="A38" s="55">
        <v>46059</v>
      </c>
      <c r="B38" s="56" t="s">
        <v>43</v>
      </c>
      <c r="C38" s="56">
        <v>5</v>
      </c>
      <c r="D38" s="56">
        <v>3</v>
      </c>
      <c r="E38" s="56">
        <v>0</v>
      </c>
      <c r="F38" s="56">
        <v>0</v>
      </c>
      <c r="G38" s="57">
        <f t="shared" si="0"/>
        <v>2</v>
      </c>
      <c r="H38" s="60"/>
      <c r="I38" s="59"/>
    </row>
    <row r="39" spans="1:9" x14ac:dyDescent="0.25">
      <c r="A39" s="55">
        <v>46060</v>
      </c>
      <c r="B39" s="56" t="s">
        <v>43</v>
      </c>
      <c r="C39" s="56">
        <v>9</v>
      </c>
      <c r="D39" s="56">
        <v>2</v>
      </c>
      <c r="E39" s="56">
        <v>0</v>
      </c>
      <c r="F39" s="56">
        <v>0</v>
      </c>
      <c r="G39" s="57">
        <f t="shared" si="0"/>
        <v>7</v>
      </c>
      <c r="H39" s="60"/>
      <c r="I39" s="59"/>
    </row>
    <row r="40" spans="1:9" x14ac:dyDescent="0.25">
      <c r="A40" s="55">
        <v>46061</v>
      </c>
      <c r="B40" s="56" t="s">
        <v>43</v>
      </c>
      <c r="C40" s="56">
        <v>13</v>
      </c>
      <c r="D40" s="56">
        <v>1</v>
      </c>
      <c r="E40" s="56">
        <v>0</v>
      </c>
      <c r="F40" s="56">
        <v>0</v>
      </c>
      <c r="G40" s="57">
        <f t="shared" si="0"/>
        <v>12</v>
      </c>
      <c r="H40" s="61"/>
      <c r="I40" s="59"/>
    </row>
    <row r="41" spans="1:9" x14ac:dyDescent="0.25">
      <c r="A41" s="55">
        <v>46062</v>
      </c>
      <c r="B41" s="56" t="s">
        <v>43</v>
      </c>
      <c r="C41" s="56">
        <v>9</v>
      </c>
      <c r="D41" s="56">
        <v>0</v>
      </c>
      <c r="E41" s="56">
        <v>0</v>
      </c>
      <c r="F41" s="56">
        <v>0</v>
      </c>
      <c r="G41" s="57">
        <f t="shared" si="0"/>
        <v>9</v>
      </c>
      <c r="H41" s="58">
        <f>SUM(G41:G47)</f>
        <v>132</v>
      </c>
      <c r="I41" s="59"/>
    </row>
    <row r="42" spans="1:9" x14ac:dyDescent="0.25">
      <c r="A42" s="55">
        <v>46063</v>
      </c>
      <c r="B42" s="56" t="s">
        <v>43</v>
      </c>
      <c r="C42" s="56">
        <v>6</v>
      </c>
      <c r="D42" s="56">
        <v>0</v>
      </c>
      <c r="E42" s="56">
        <v>0</v>
      </c>
      <c r="F42" s="56">
        <v>0</v>
      </c>
      <c r="G42" s="57">
        <f t="shared" si="0"/>
        <v>6</v>
      </c>
      <c r="H42" s="60"/>
      <c r="I42" s="59"/>
    </row>
    <row r="43" spans="1:9" x14ac:dyDescent="0.25">
      <c r="A43" s="55">
        <v>46064</v>
      </c>
      <c r="B43" s="56" t="s">
        <v>43</v>
      </c>
      <c r="C43" s="56">
        <v>33</v>
      </c>
      <c r="D43" s="56">
        <v>0</v>
      </c>
      <c r="E43" s="56">
        <v>0</v>
      </c>
      <c r="F43" s="56">
        <v>0</v>
      </c>
      <c r="G43" s="57">
        <f t="shared" si="0"/>
        <v>33</v>
      </c>
      <c r="H43" s="60"/>
      <c r="I43" s="59"/>
    </row>
    <row r="44" spans="1:9" x14ac:dyDescent="0.25">
      <c r="A44" s="55">
        <v>46065</v>
      </c>
      <c r="B44" s="56" t="s">
        <v>43</v>
      </c>
      <c r="C44" s="56">
        <v>19</v>
      </c>
      <c r="D44" s="56">
        <v>1</v>
      </c>
      <c r="E44" s="56">
        <v>0</v>
      </c>
      <c r="F44" s="56">
        <v>0</v>
      </c>
      <c r="G44" s="57">
        <f t="shared" si="0"/>
        <v>18</v>
      </c>
      <c r="H44" s="60"/>
      <c r="I44" s="59"/>
    </row>
    <row r="45" spans="1:9" x14ac:dyDescent="0.25">
      <c r="A45" s="55">
        <v>46066</v>
      </c>
      <c r="B45" s="56" t="s">
        <v>43</v>
      </c>
      <c r="C45" s="56">
        <v>12</v>
      </c>
      <c r="D45" s="56">
        <v>3</v>
      </c>
      <c r="E45" s="56">
        <v>0</v>
      </c>
      <c r="F45" s="56">
        <v>0</v>
      </c>
      <c r="G45" s="57">
        <f t="shared" si="0"/>
        <v>9</v>
      </c>
      <c r="H45" s="60"/>
      <c r="I45" s="59"/>
    </row>
    <row r="46" spans="1:9" x14ac:dyDescent="0.25">
      <c r="A46" s="55">
        <v>46067</v>
      </c>
      <c r="B46" s="56" t="s">
        <v>43</v>
      </c>
      <c r="C46" s="56">
        <v>31</v>
      </c>
      <c r="D46" s="56">
        <v>2</v>
      </c>
      <c r="E46" s="56">
        <v>0</v>
      </c>
      <c r="F46" s="56">
        <v>0</v>
      </c>
      <c r="G46" s="57">
        <f t="shared" si="0"/>
        <v>29</v>
      </c>
      <c r="H46" s="60"/>
      <c r="I46" s="59"/>
    </row>
    <row r="47" spans="1:9" x14ac:dyDescent="0.25">
      <c r="A47" s="55">
        <v>46068</v>
      </c>
      <c r="B47" s="56" t="s">
        <v>43</v>
      </c>
      <c r="C47" s="56">
        <v>28</v>
      </c>
      <c r="D47" s="56">
        <v>0</v>
      </c>
      <c r="E47" s="56">
        <v>0</v>
      </c>
      <c r="F47" s="56">
        <v>0</v>
      </c>
      <c r="G47" s="57">
        <f t="shared" si="0"/>
        <v>28</v>
      </c>
      <c r="H47" s="61"/>
      <c r="I47" s="59"/>
    </row>
    <row r="48" spans="1:9" x14ac:dyDescent="0.25">
      <c r="A48" s="55">
        <v>46069</v>
      </c>
      <c r="B48" s="56" t="s">
        <v>43</v>
      </c>
      <c r="C48" s="56">
        <v>10</v>
      </c>
      <c r="D48" s="56">
        <v>2</v>
      </c>
      <c r="E48" s="56">
        <v>0</v>
      </c>
      <c r="F48" s="56">
        <v>0</v>
      </c>
      <c r="G48" s="57">
        <f t="shared" si="0"/>
        <v>8</v>
      </c>
      <c r="H48" s="58">
        <f>SUM(G48:G54)</f>
        <v>54</v>
      </c>
      <c r="I48" s="59"/>
    </row>
    <row r="49" spans="1:9" x14ac:dyDescent="0.25">
      <c r="A49" s="55">
        <v>46070</v>
      </c>
      <c r="B49" s="56" t="s">
        <v>43</v>
      </c>
      <c r="C49" s="56">
        <v>8</v>
      </c>
      <c r="D49" s="56">
        <v>0</v>
      </c>
      <c r="E49" s="56">
        <v>0</v>
      </c>
      <c r="F49" s="56">
        <v>0</v>
      </c>
      <c r="G49" s="57">
        <f t="shared" si="0"/>
        <v>8</v>
      </c>
      <c r="H49" s="60"/>
      <c r="I49" s="59"/>
    </row>
    <row r="50" spans="1:9" x14ac:dyDescent="0.25">
      <c r="A50" s="55">
        <v>46071</v>
      </c>
      <c r="B50" s="56" t="s">
        <v>43</v>
      </c>
      <c r="C50" s="56">
        <v>9</v>
      </c>
      <c r="D50" s="56">
        <v>2</v>
      </c>
      <c r="E50" s="56">
        <v>0</v>
      </c>
      <c r="F50" s="56">
        <v>0</v>
      </c>
      <c r="G50" s="57">
        <f t="shared" si="0"/>
        <v>7</v>
      </c>
      <c r="H50" s="60"/>
      <c r="I50" s="59"/>
    </row>
    <row r="51" spans="1:9" x14ac:dyDescent="0.25">
      <c r="A51" s="55">
        <v>46072</v>
      </c>
      <c r="B51" s="56" t="s">
        <v>43</v>
      </c>
      <c r="C51" s="56">
        <v>7</v>
      </c>
      <c r="D51" s="56">
        <v>0</v>
      </c>
      <c r="E51" s="56">
        <v>0</v>
      </c>
      <c r="F51" s="56">
        <v>0</v>
      </c>
      <c r="G51" s="57">
        <f t="shared" si="0"/>
        <v>7</v>
      </c>
      <c r="H51" s="60"/>
      <c r="I51" s="59"/>
    </row>
    <row r="52" spans="1:9" x14ac:dyDescent="0.25">
      <c r="A52" s="55">
        <v>46073</v>
      </c>
      <c r="B52" s="56" t="s">
        <v>43</v>
      </c>
      <c r="C52" s="56">
        <v>8</v>
      </c>
      <c r="D52" s="56">
        <v>1</v>
      </c>
      <c r="E52" s="56">
        <v>0</v>
      </c>
      <c r="F52" s="56">
        <v>0</v>
      </c>
      <c r="G52" s="57">
        <f t="shared" si="0"/>
        <v>7</v>
      </c>
      <c r="H52" s="60"/>
      <c r="I52" s="59"/>
    </row>
    <row r="53" spans="1:9" x14ac:dyDescent="0.25">
      <c r="A53" s="55">
        <v>46074</v>
      </c>
      <c r="B53" s="56" t="s">
        <v>43</v>
      </c>
      <c r="C53" s="56">
        <v>10</v>
      </c>
      <c r="D53" s="56">
        <v>1</v>
      </c>
      <c r="E53" s="56">
        <v>0</v>
      </c>
      <c r="F53" s="56">
        <v>0</v>
      </c>
      <c r="G53" s="57">
        <f t="shared" si="0"/>
        <v>9</v>
      </c>
      <c r="H53" s="60"/>
      <c r="I53" s="59"/>
    </row>
    <row r="54" spans="1:9" x14ac:dyDescent="0.25">
      <c r="A54" s="55">
        <v>46075</v>
      </c>
      <c r="B54" s="56" t="s">
        <v>43</v>
      </c>
      <c r="C54" s="56">
        <v>8</v>
      </c>
      <c r="D54" s="56">
        <v>0</v>
      </c>
      <c r="E54" s="56">
        <v>0</v>
      </c>
      <c r="F54" s="56">
        <v>0</v>
      </c>
      <c r="G54" s="57">
        <f t="shared" si="0"/>
        <v>8</v>
      </c>
      <c r="H54" s="61"/>
      <c r="I54" s="59"/>
    </row>
    <row r="55" spans="1:9" x14ac:dyDescent="0.25">
      <c r="A55" s="55">
        <v>46076</v>
      </c>
      <c r="B55" s="56" t="s">
        <v>43</v>
      </c>
      <c r="C55" s="56">
        <v>11</v>
      </c>
      <c r="D55" s="56">
        <v>0</v>
      </c>
      <c r="E55" s="56">
        <v>0</v>
      </c>
      <c r="F55" s="56">
        <v>0</v>
      </c>
      <c r="G55" s="57">
        <f t="shared" si="0"/>
        <v>11</v>
      </c>
      <c r="H55" s="58">
        <f>SUM(G55:G61)</f>
        <v>89</v>
      </c>
      <c r="I55" s="59"/>
    </row>
    <row r="56" spans="1:9" x14ac:dyDescent="0.25">
      <c r="A56" s="55">
        <v>46077</v>
      </c>
      <c r="B56" s="56" t="s">
        <v>43</v>
      </c>
      <c r="C56" s="56">
        <v>30</v>
      </c>
      <c r="D56" s="56">
        <v>2</v>
      </c>
      <c r="E56" s="56">
        <v>0</v>
      </c>
      <c r="F56" s="56">
        <v>0</v>
      </c>
      <c r="G56" s="57">
        <f t="shared" si="0"/>
        <v>28</v>
      </c>
      <c r="H56" s="60"/>
      <c r="I56" s="59"/>
    </row>
    <row r="57" spans="1:9" x14ac:dyDescent="0.25">
      <c r="A57" s="55">
        <v>46078</v>
      </c>
      <c r="B57" s="56" t="s">
        <v>43</v>
      </c>
      <c r="C57" s="56">
        <v>12</v>
      </c>
      <c r="D57" s="56">
        <v>1</v>
      </c>
      <c r="E57" s="56">
        <v>0</v>
      </c>
      <c r="F57" s="56">
        <v>0</v>
      </c>
      <c r="G57" s="57">
        <f t="shared" si="0"/>
        <v>11</v>
      </c>
      <c r="H57" s="60"/>
      <c r="I57" s="59"/>
    </row>
    <row r="58" spans="1:9" x14ac:dyDescent="0.25">
      <c r="A58" s="55">
        <v>46079</v>
      </c>
      <c r="B58" s="56" t="s">
        <v>43</v>
      </c>
      <c r="C58" s="56">
        <v>13</v>
      </c>
      <c r="D58" s="56">
        <v>2</v>
      </c>
      <c r="E58" s="56">
        <v>0</v>
      </c>
      <c r="F58" s="56">
        <v>0</v>
      </c>
      <c r="G58" s="57">
        <f t="shared" si="0"/>
        <v>11</v>
      </c>
      <c r="H58" s="60"/>
      <c r="I58" s="59"/>
    </row>
    <row r="59" spans="1:9" x14ac:dyDescent="0.25">
      <c r="A59" s="55">
        <v>46080</v>
      </c>
      <c r="B59" s="56" t="s">
        <v>43</v>
      </c>
      <c r="C59" s="56">
        <v>16</v>
      </c>
      <c r="D59" s="56">
        <v>1</v>
      </c>
      <c r="E59" s="56">
        <v>0</v>
      </c>
      <c r="F59" s="56">
        <v>0</v>
      </c>
      <c r="G59" s="57">
        <f t="shared" si="0"/>
        <v>15</v>
      </c>
      <c r="H59" s="60"/>
      <c r="I59" s="59"/>
    </row>
    <row r="60" spans="1:9" x14ac:dyDescent="0.25">
      <c r="A60" s="55">
        <v>46081</v>
      </c>
      <c r="B60" s="56" t="s">
        <v>43</v>
      </c>
      <c r="C60" s="56">
        <v>8</v>
      </c>
      <c r="D60" s="56">
        <v>2</v>
      </c>
      <c r="E60" s="56">
        <v>0</v>
      </c>
      <c r="F60" s="56">
        <v>0</v>
      </c>
      <c r="G60" s="57">
        <f t="shared" si="0"/>
        <v>6</v>
      </c>
      <c r="H60" s="60"/>
      <c r="I60" s="59"/>
    </row>
    <row r="61" spans="1:9" x14ac:dyDescent="0.25">
      <c r="A61" s="55">
        <v>46082</v>
      </c>
      <c r="B61" s="56" t="s">
        <v>43</v>
      </c>
      <c r="C61" s="56">
        <v>10</v>
      </c>
      <c r="D61" s="56">
        <v>3</v>
      </c>
      <c r="E61" s="56">
        <v>0</v>
      </c>
      <c r="F61" s="56">
        <v>0</v>
      </c>
      <c r="G61" s="57">
        <f t="shared" si="0"/>
        <v>7</v>
      </c>
      <c r="H61" s="61"/>
      <c r="I61" s="59"/>
    </row>
    <row r="62" spans="1:9" x14ac:dyDescent="0.25">
      <c r="A62" s="55">
        <v>46083</v>
      </c>
      <c r="B62" s="56" t="s">
        <v>43</v>
      </c>
      <c r="C62" s="56">
        <v>4</v>
      </c>
      <c r="D62" s="56">
        <v>1</v>
      </c>
      <c r="E62" s="56">
        <v>0</v>
      </c>
      <c r="F62" s="56">
        <v>0</v>
      </c>
      <c r="G62" s="57">
        <f t="shared" si="0"/>
        <v>3</v>
      </c>
      <c r="H62" s="58">
        <f>SUM(G62:G68)</f>
        <v>69</v>
      </c>
      <c r="I62" s="59"/>
    </row>
    <row r="63" spans="1:9" x14ac:dyDescent="0.25">
      <c r="A63" s="55">
        <v>46084</v>
      </c>
      <c r="B63" s="56" t="s">
        <v>43</v>
      </c>
      <c r="C63" s="56">
        <v>6</v>
      </c>
      <c r="D63" s="56">
        <v>1</v>
      </c>
      <c r="E63" s="56">
        <v>0</v>
      </c>
      <c r="F63" s="56">
        <v>0</v>
      </c>
      <c r="G63" s="57">
        <f t="shared" si="0"/>
        <v>5</v>
      </c>
      <c r="H63" s="60"/>
      <c r="I63" s="59"/>
    </row>
    <row r="64" spans="1:9" x14ac:dyDescent="0.25">
      <c r="A64" s="55">
        <v>46085</v>
      </c>
      <c r="B64" s="56" t="s">
        <v>43</v>
      </c>
      <c r="C64" s="56">
        <v>33</v>
      </c>
      <c r="D64" s="56">
        <v>0</v>
      </c>
      <c r="E64" s="56">
        <v>0</v>
      </c>
      <c r="F64" s="56">
        <v>0</v>
      </c>
      <c r="G64" s="57">
        <f t="shared" si="0"/>
        <v>33</v>
      </c>
      <c r="H64" s="60"/>
      <c r="I64" s="59"/>
    </row>
    <row r="65" spans="1:9" x14ac:dyDescent="0.25">
      <c r="A65" s="55">
        <v>46086</v>
      </c>
      <c r="B65" s="56" t="s">
        <v>43</v>
      </c>
      <c r="C65" s="56">
        <v>10</v>
      </c>
      <c r="D65" s="56">
        <v>1</v>
      </c>
      <c r="E65" s="56">
        <v>0</v>
      </c>
      <c r="F65" s="56">
        <v>0</v>
      </c>
      <c r="G65" s="57">
        <f t="shared" si="0"/>
        <v>9</v>
      </c>
      <c r="H65" s="60"/>
      <c r="I65" s="59"/>
    </row>
    <row r="66" spans="1:9" x14ac:dyDescent="0.25">
      <c r="A66" s="55">
        <v>46087</v>
      </c>
      <c r="B66" s="56" t="s">
        <v>43</v>
      </c>
      <c r="C66" s="56">
        <v>6</v>
      </c>
      <c r="D66" s="56">
        <v>2</v>
      </c>
      <c r="E66" s="56">
        <v>0</v>
      </c>
      <c r="F66" s="56">
        <v>0</v>
      </c>
      <c r="G66" s="57">
        <f t="shared" si="0"/>
        <v>4</v>
      </c>
      <c r="H66" s="60"/>
      <c r="I66" s="59"/>
    </row>
    <row r="67" spans="1:9" x14ac:dyDescent="0.25">
      <c r="A67" s="55">
        <v>46088</v>
      </c>
      <c r="B67" s="56" t="s">
        <v>43</v>
      </c>
      <c r="C67" s="56">
        <v>6</v>
      </c>
      <c r="D67" s="56">
        <v>1</v>
      </c>
      <c r="E67" s="56">
        <v>0</v>
      </c>
      <c r="F67" s="56">
        <v>0</v>
      </c>
      <c r="G67" s="57">
        <f t="shared" ref="G67:G130" si="1">SUM(F67,E67,C67-D67)</f>
        <v>5</v>
      </c>
      <c r="H67" s="60"/>
      <c r="I67" s="59"/>
    </row>
    <row r="68" spans="1:9" x14ac:dyDescent="0.25">
      <c r="A68" s="55">
        <v>46089</v>
      </c>
      <c r="B68" s="56" t="s">
        <v>43</v>
      </c>
      <c r="C68" s="56">
        <v>11</v>
      </c>
      <c r="D68" s="56">
        <v>1</v>
      </c>
      <c r="E68" s="56">
        <v>0</v>
      </c>
      <c r="F68" s="56">
        <v>0</v>
      </c>
      <c r="G68" s="57">
        <f t="shared" si="1"/>
        <v>10</v>
      </c>
      <c r="H68" s="61"/>
      <c r="I68" s="59"/>
    </row>
    <row r="69" spans="1:9" x14ac:dyDescent="0.25">
      <c r="A69" s="55">
        <v>46090</v>
      </c>
      <c r="B69" s="56" t="s">
        <v>43</v>
      </c>
      <c r="C69" s="56">
        <v>2</v>
      </c>
      <c r="D69" s="56">
        <v>2</v>
      </c>
      <c r="E69" s="56">
        <v>0</v>
      </c>
      <c r="F69" s="56">
        <v>0</v>
      </c>
      <c r="G69" s="57">
        <f t="shared" si="1"/>
        <v>0</v>
      </c>
      <c r="H69" s="58">
        <f>SUM(G69:G75)</f>
        <v>95</v>
      </c>
      <c r="I69" s="59"/>
    </row>
    <row r="70" spans="1:9" x14ac:dyDescent="0.25">
      <c r="A70" s="55">
        <v>46091</v>
      </c>
      <c r="B70" s="56" t="s">
        <v>43</v>
      </c>
      <c r="C70" s="56">
        <v>6</v>
      </c>
      <c r="D70" s="56">
        <v>1</v>
      </c>
      <c r="E70" s="56">
        <v>0</v>
      </c>
      <c r="F70" s="56">
        <v>0</v>
      </c>
      <c r="G70" s="57">
        <f t="shared" si="1"/>
        <v>5</v>
      </c>
      <c r="H70" s="60"/>
      <c r="I70" s="59"/>
    </row>
    <row r="71" spans="1:9" x14ac:dyDescent="0.25">
      <c r="A71" s="55">
        <v>46092</v>
      </c>
      <c r="B71" s="56" t="s">
        <v>43</v>
      </c>
      <c r="C71" s="56">
        <v>2</v>
      </c>
      <c r="D71" s="56">
        <v>1</v>
      </c>
      <c r="E71" s="56">
        <v>0</v>
      </c>
      <c r="F71" s="56">
        <v>0</v>
      </c>
      <c r="G71" s="57">
        <f t="shared" si="1"/>
        <v>1</v>
      </c>
      <c r="H71" s="60"/>
      <c r="I71" s="59"/>
    </row>
    <row r="72" spans="1:9" x14ac:dyDescent="0.25">
      <c r="A72" s="55">
        <v>46093</v>
      </c>
      <c r="B72" s="56" t="s">
        <v>43</v>
      </c>
      <c r="C72" s="56">
        <v>30</v>
      </c>
      <c r="D72" s="56">
        <v>1</v>
      </c>
      <c r="E72" s="56">
        <v>0</v>
      </c>
      <c r="F72" s="56">
        <v>0</v>
      </c>
      <c r="G72" s="57">
        <f t="shared" si="1"/>
        <v>29</v>
      </c>
      <c r="H72" s="60"/>
      <c r="I72" s="59"/>
    </row>
    <row r="73" spans="1:9" x14ac:dyDescent="0.25">
      <c r="A73" s="55">
        <v>46094</v>
      </c>
      <c r="B73" s="56" t="s">
        <v>43</v>
      </c>
      <c r="C73" s="56">
        <v>32</v>
      </c>
      <c r="D73" s="56">
        <v>3</v>
      </c>
      <c r="E73" s="56">
        <v>0</v>
      </c>
      <c r="F73" s="56">
        <v>0</v>
      </c>
      <c r="G73" s="57">
        <f t="shared" si="1"/>
        <v>29</v>
      </c>
      <c r="H73" s="60"/>
      <c r="I73" s="59"/>
    </row>
    <row r="74" spans="1:9" x14ac:dyDescent="0.25">
      <c r="A74" s="55">
        <v>46095</v>
      </c>
      <c r="B74" s="56" t="s">
        <v>43</v>
      </c>
      <c r="C74" s="56">
        <v>16</v>
      </c>
      <c r="D74" s="56">
        <v>0</v>
      </c>
      <c r="E74" s="56">
        <v>0</v>
      </c>
      <c r="F74" s="56">
        <v>0</v>
      </c>
      <c r="G74" s="57">
        <f t="shared" si="1"/>
        <v>16</v>
      </c>
      <c r="H74" s="60"/>
      <c r="I74" s="59"/>
    </row>
    <row r="75" spans="1:9" x14ac:dyDescent="0.25">
      <c r="A75" s="55">
        <v>46096</v>
      </c>
      <c r="B75" s="56" t="s">
        <v>43</v>
      </c>
      <c r="C75" s="56">
        <v>17</v>
      </c>
      <c r="D75" s="56">
        <v>2</v>
      </c>
      <c r="E75" s="56">
        <v>0</v>
      </c>
      <c r="F75" s="56">
        <v>0</v>
      </c>
      <c r="G75" s="57">
        <f t="shared" si="1"/>
        <v>15</v>
      </c>
      <c r="H75" s="61"/>
      <c r="I75" s="59"/>
    </row>
    <row r="76" spans="1:9" x14ac:dyDescent="0.25">
      <c r="A76" s="55">
        <v>46097</v>
      </c>
      <c r="B76" s="56" t="s">
        <v>43</v>
      </c>
      <c r="C76" s="56">
        <v>19</v>
      </c>
      <c r="D76" s="56">
        <v>2</v>
      </c>
      <c r="E76" s="56">
        <v>0</v>
      </c>
      <c r="F76" s="56">
        <v>0</v>
      </c>
      <c r="G76" s="57">
        <f t="shared" si="1"/>
        <v>17</v>
      </c>
      <c r="H76" s="58">
        <f>SUM(G76:G82)</f>
        <v>218</v>
      </c>
      <c r="I76" s="59"/>
    </row>
    <row r="77" spans="1:9" x14ac:dyDescent="0.25">
      <c r="A77" s="55">
        <v>46098</v>
      </c>
      <c r="B77" s="56" t="s">
        <v>43</v>
      </c>
      <c r="C77" s="56">
        <v>21</v>
      </c>
      <c r="D77" s="56">
        <v>2</v>
      </c>
      <c r="E77" s="56">
        <v>0</v>
      </c>
      <c r="F77" s="56">
        <v>0</v>
      </c>
      <c r="G77" s="57">
        <f t="shared" si="1"/>
        <v>19</v>
      </c>
      <c r="H77" s="60"/>
      <c r="I77" s="59"/>
    </row>
    <row r="78" spans="1:9" x14ac:dyDescent="0.25">
      <c r="A78" s="55">
        <v>46099</v>
      </c>
      <c r="B78" s="56" t="s">
        <v>43</v>
      </c>
      <c r="C78" s="56">
        <v>10</v>
      </c>
      <c r="D78" s="56">
        <v>4</v>
      </c>
      <c r="E78" s="56">
        <v>0</v>
      </c>
      <c r="F78" s="56">
        <v>0</v>
      </c>
      <c r="G78" s="57">
        <f t="shared" si="1"/>
        <v>6</v>
      </c>
      <c r="H78" s="60"/>
      <c r="I78" s="59"/>
    </row>
    <row r="79" spans="1:9" x14ac:dyDescent="0.25">
      <c r="A79" s="55">
        <v>46100</v>
      </c>
      <c r="B79" s="56" t="s">
        <v>43</v>
      </c>
      <c r="C79" s="56">
        <v>22</v>
      </c>
      <c r="D79" s="56">
        <v>2</v>
      </c>
      <c r="E79" s="56">
        <v>0</v>
      </c>
      <c r="F79" s="56">
        <v>0</v>
      </c>
      <c r="G79" s="57">
        <f t="shared" si="1"/>
        <v>20</v>
      </c>
      <c r="H79" s="60"/>
      <c r="I79" s="59"/>
    </row>
    <row r="80" spans="1:9" x14ac:dyDescent="0.25">
      <c r="A80" s="55">
        <v>46101</v>
      </c>
      <c r="B80" s="56" t="s">
        <v>43</v>
      </c>
      <c r="C80" s="56">
        <v>15</v>
      </c>
      <c r="D80" s="56">
        <v>3</v>
      </c>
      <c r="E80" s="56">
        <v>0</v>
      </c>
      <c r="F80" s="56">
        <v>0</v>
      </c>
      <c r="G80" s="57">
        <f t="shared" si="1"/>
        <v>12</v>
      </c>
      <c r="H80" s="60"/>
      <c r="I80" s="59"/>
    </row>
    <row r="81" spans="1:9" x14ac:dyDescent="0.25">
      <c r="A81" s="55">
        <v>46102</v>
      </c>
      <c r="B81" s="56" t="s">
        <v>43</v>
      </c>
      <c r="C81" s="56">
        <v>58</v>
      </c>
      <c r="D81" s="56">
        <v>4</v>
      </c>
      <c r="E81" s="56">
        <v>0</v>
      </c>
      <c r="F81" s="56">
        <v>0</v>
      </c>
      <c r="G81" s="57">
        <f t="shared" si="1"/>
        <v>54</v>
      </c>
      <c r="H81" s="60"/>
      <c r="I81" s="59"/>
    </row>
    <row r="82" spans="1:9" x14ac:dyDescent="0.25">
      <c r="A82" s="55">
        <v>46103</v>
      </c>
      <c r="B82" s="56" t="s">
        <v>43</v>
      </c>
      <c r="C82" s="56">
        <v>97</v>
      </c>
      <c r="D82" s="56">
        <v>7</v>
      </c>
      <c r="E82" s="56">
        <v>0</v>
      </c>
      <c r="F82" s="56">
        <v>0</v>
      </c>
      <c r="G82" s="57">
        <f t="shared" si="1"/>
        <v>90</v>
      </c>
      <c r="H82" s="61"/>
      <c r="I82" s="59"/>
    </row>
    <row r="83" spans="1:9" x14ac:dyDescent="0.25">
      <c r="A83" s="55">
        <v>46104</v>
      </c>
      <c r="B83" s="56" t="s">
        <v>43</v>
      </c>
      <c r="C83" s="56">
        <v>7</v>
      </c>
      <c r="D83" s="56">
        <v>1</v>
      </c>
      <c r="E83" s="56">
        <v>0</v>
      </c>
      <c r="F83" s="56">
        <v>0</v>
      </c>
      <c r="G83" s="57">
        <f t="shared" si="1"/>
        <v>6</v>
      </c>
      <c r="H83" s="58">
        <f>SUM(G83:G89)</f>
        <v>106</v>
      </c>
      <c r="I83" s="59"/>
    </row>
    <row r="84" spans="1:9" x14ac:dyDescent="0.25">
      <c r="A84" s="55">
        <v>46105</v>
      </c>
      <c r="B84" s="56" t="s">
        <v>43</v>
      </c>
      <c r="C84" s="56">
        <v>16</v>
      </c>
      <c r="D84" s="56">
        <v>1</v>
      </c>
      <c r="E84" s="56">
        <v>0</v>
      </c>
      <c r="F84" s="56">
        <v>0</v>
      </c>
      <c r="G84" s="57">
        <f t="shared" si="1"/>
        <v>15</v>
      </c>
      <c r="H84" s="60"/>
      <c r="I84" s="59"/>
    </row>
    <row r="85" spans="1:9" x14ac:dyDescent="0.25">
      <c r="A85" s="55">
        <v>46106</v>
      </c>
      <c r="B85" s="56" t="s">
        <v>43</v>
      </c>
      <c r="C85" s="56">
        <v>27</v>
      </c>
      <c r="D85" s="56">
        <v>4</v>
      </c>
      <c r="E85" s="56">
        <v>0</v>
      </c>
      <c r="F85" s="56">
        <v>0</v>
      </c>
      <c r="G85" s="57">
        <f t="shared" si="1"/>
        <v>23</v>
      </c>
      <c r="H85" s="60"/>
      <c r="I85" s="59"/>
    </row>
    <row r="86" spans="1:9" x14ac:dyDescent="0.25">
      <c r="A86" s="55">
        <v>46107</v>
      </c>
      <c r="B86" s="56" t="s">
        <v>43</v>
      </c>
      <c r="C86" s="56">
        <v>16</v>
      </c>
      <c r="D86" s="56">
        <v>0</v>
      </c>
      <c r="E86" s="56">
        <v>0</v>
      </c>
      <c r="F86" s="56">
        <v>0</v>
      </c>
      <c r="G86" s="57">
        <f t="shared" si="1"/>
        <v>16</v>
      </c>
      <c r="H86" s="60"/>
      <c r="I86" s="59"/>
    </row>
    <row r="87" spans="1:9" x14ac:dyDescent="0.25">
      <c r="A87" s="55">
        <v>46108</v>
      </c>
      <c r="B87" s="56" t="s">
        <v>43</v>
      </c>
      <c r="C87" s="56">
        <v>18</v>
      </c>
      <c r="D87" s="56">
        <v>3</v>
      </c>
      <c r="E87" s="56">
        <v>0</v>
      </c>
      <c r="F87" s="56">
        <v>0</v>
      </c>
      <c r="G87" s="57">
        <f t="shared" si="1"/>
        <v>15</v>
      </c>
      <c r="H87" s="60"/>
      <c r="I87" s="59"/>
    </row>
    <row r="88" spans="1:9" x14ac:dyDescent="0.25">
      <c r="A88" s="55">
        <v>46109</v>
      </c>
      <c r="B88" s="56" t="s">
        <v>43</v>
      </c>
      <c r="C88" s="56">
        <v>15</v>
      </c>
      <c r="D88" s="56">
        <v>1</v>
      </c>
      <c r="E88" s="56">
        <v>0</v>
      </c>
      <c r="F88" s="56">
        <v>0</v>
      </c>
      <c r="G88" s="57">
        <f t="shared" si="1"/>
        <v>14</v>
      </c>
      <c r="H88" s="60"/>
      <c r="I88" s="59"/>
    </row>
    <row r="89" spans="1:9" x14ac:dyDescent="0.25">
      <c r="A89" s="55">
        <v>46110</v>
      </c>
      <c r="B89" s="56" t="s">
        <v>43</v>
      </c>
      <c r="C89" s="56">
        <v>17</v>
      </c>
      <c r="D89" s="56">
        <v>0</v>
      </c>
      <c r="E89" s="56">
        <v>0</v>
      </c>
      <c r="F89" s="56">
        <v>0</v>
      </c>
      <c r="G89" s="57">
        <f t="shared" si="1"/>
        <v>17</v>
      </c>
      <c r="H89" s="61"/>
      <c r="I89" s="59"/>
    </row>
    <row r="90" spans="1:9" x14ac:dyDescent="0.25">
      <c r="A90" s="55">
        <v>46111</v>
      </c>
      <c r="B90" s="56" t="s">
        <v>43</v>
      </c>
      <c r="C90" s="56">
        <v>9</v>
      </c>
      <c r="D90" s="56">
        <v>0</v>
      </c>
      <c r="E90" s="56">
        <v>0</v>
      </c>
      <c r="F90" s="56">
        <v>0</v>
      </c>
      <c r="G90" s="57">
        <f t="shared" si="1"/>
        <v>9</v>
      </c>
      <c r="H90" s="58">
        <f>SUM(G90:G96)</f>
        <v>83</v>
      </c>
      <c r="I90" s="59"/>
    </row>
    <row r="91" spans="1:9" x14ac:dyDescent="0.25">
      <c r="A91" s="55">
        <v>46112</v>
      </c>
      <c r="B91" s="56" t="s">
        <v>43</v>
      </c>
      <c r="C91" s="56">
        <v>9</v>
      </c>
      <c r="D91" s="56">
        <v>1</v>
      </c>
      <c r="E91" s="56">
        <v>0</v>
      </c>
      <c r="F91" s="56">
        <v>0</v>
      </c>
      <c r="G91" s="57">
        <f t="shared" si="1"/>
        <v>8</v>
      </c>
      <c r="H91" s="60"/>
      <c r="I91" s="59"/>
    </row>
    <row r="92" spans="1:9" x14ac:dyDescent="0.25">
      <c r="A92" s="55">
        <v>46113</v>
      </c>
      <c r="B92" s="56" t="s">
        <v>43</v>
      </c>
      <c r="C92" s="56">
        <v>11</v>
      </c>
      <c r="D92" s="56">
        <v>1</v>
      </c>
      <c r="E92" s="56">
        <v>0</v>
      </c>
      <c r="F92" s="56">
        <v>0</v>
      </c>
      <c r="G92" s="57">
        <f t="shared" si="1"/>
        <v>10</v>
      </c>
      <c r="H92" s="60"/>
      <c r="I92" s="59"/>
    </row>
    <row r="93" spans="1:9" x14ac:dyDescent="0.25">
      <c r="A93" s="55">
        <v>46114</v>
      </c>
      <c r="B93" s="56" t="s">
        <v>43</v>
      </c>
      <c r="C93" s="56">
        <v>31</v>
      </c>
      <c r="D93" s="56">
        <v>5</v>
      </c>
      <c r="E93" s="56">
        <v>0</v>
      </c>
      <c r="F93" s="56">
        <v>0</v>
      </c>
      <c r="G93" s="57">
        <f t="shared" si="1"/>
        <v>26</v>
      </c>
      <c r="H93" s="60"/>
      <c r="I93" s="59"/>
    </row>
    <row r="94" spans="1:9" x14ac:dyDescent="0.25">
      <c r="A94" s="55">
        <v>46115</v>
      </c>
      <c r="B94" s="56" t="s">
        <v>43</v>
      </c>
      <c r="C94" s="56">
        <v>14</v>
      </c>
      <c r="D94" s="56">
        <v>0</v>
      </c>
      <c r="E94" s="56">
        <v>0</v>
      </c>
      <c r="F94" s="56">
        <v>0</v>
      </c>
      <c r="G94" s="57">
        <f t="shared" si="1"/>
        <v>14</v>
      </c>
      <c r="H94" s="60"/>
      <c r="I94" s="59"/>
    </row>
    <row r="95" spans="1:9" x14ac:dyDescent="0.25">
      <c r="A95" s="55">
        <v>46116</v>
      </c>
      <c r="B95" s="56" t="s">
        <v>43</v>
      </c>
      <c r="C95" s="56">
        <v>7</v>
      </c>
      <c r="D95" s="56">
        <v>1</v>
      </c>
      <c r="E95" s="56">
        <v>0</v>
      </c>
      <c r="F95" s="56">
        <v>0</v>
      </c>
      <c r="G95" s="57">
        <f t="shared" si="1"/>
        <v>6</v>
      </c>
      <c r="H95" s="60"/>
      <c r="I95" s="59"/>
    </row>
    <row r="96" spans="1:9" x14ac:dyDescent="0.25">
      <c r="A96" s="55">
        <v>46117</v>
      </c>
      <c r="B96" s="56" t="s">
        <v>43</v>
      </c>
      <c r="C96" s="56">
        <v>11</v>
      </c>
      <c r="D96" s="56">
        <v>1</v>
      </c>
      <c r="E96" s="56">
        <v>0</v>
      </c>
      <c r="F96" s="56">
        <v>0</v>
      </c>
      <c r="G96" s="57">
        <f t="shared" si="1"/>
        <v>10</v>
      </c>
      <c r="H96" s="61"/>
      <c r="I96" s="59"/>
    </row>
    <row r="97" spans="1:9" x14ac:dyDescent="0.25">
      <c r="A97" s="55">
        <v>46118</v>
      </c>
      <c r="B97" s="56" t="s">
        <v>43</v>
      </c>
      <c r="C97" s="56">
        <v>7</v>
      </c>
      <c r="D97" s="56">
        <v>2</v>
      </c>
      <c r="E97" s="56">
        <v>0</v>
      </c>
      <c r="F97" s="56">
        <v>0</v>
      </c>
      <c r="G97" s="57">
        <f t="shared" si="1"/>
        <v>5</v>
      </c>
      <c r="H97" s="58">
        <f>SUM(G97:G103)</f>
        <v>92</v>
      </c>
      <c r="I97" s="59"/>
    </row>
    <row r="98" spans="1:9" x14ac:dyDescent="0.25">
      <c r="A98" s="55">
        <v>46119</v>
      </c>
      <c r="B98" s="56" t="s">
        <v>43</v>
      </c>
      <c r="C98" s="56">
        <v>10</v>
      </c>
      <c r="D98" s="56">
        <v>1</v>
      </c>
      <c r="E98" s="56">
        <v>0</v>
      </c>
      <c r="F98" s="56">
        <v>0</v>
      </c>
      <c r="G98" s="57">
        <f t="shared" si="1"/>
        <v>9</v>
      </c>
      <c r="H98" s="60"/>
      <c r="I98" s="59"/>
    </row>
    <row r="99" spans="1:9" x14ac:dyDescent="0.25">
      <c r="A99" s="55">
        <v>46120</v>
      </c>
      <c r="B99" s="56" t="s">
        <v>43</v>
      </c>
      <c r="C99" s="56">
        <v>10</v>
      </c>
      <c r="D99" s="56">
        <v>0</v>
      </c>
      <c r="E99" s="56">
        <v>0</v>
      </c>
      <c r="F99" s="56">
        <v>0</v>
      </c>
      <c r="G99" s="57">
        <f t="shared" si="1"/>
        <v>10</v>
      </c>
      <c r="H99" s="60"/>
      <c r="I99" s="59"/>
    </row>
    <row r="100" spans="1:9" x14ac:dyDescent="0.25">
      <c r="A100" s="55">
        <v>46121</v>
      </c>
      <c r="B100" s="56" t="s">
        <v>43</v>
      </c>
      <c r="C100" s="56">
        <v>20</v>
      </c>
      <c r="D100" s="56">
        <v>2</v>
      </c>
      <c r="E100" s="56">
        <v>0</v>
      </c>
      <c r="F100" s="56">
        <v>0</v>
      </c>
      <c r="G100" s="57">
        <f t="shared" si="1"/>
        <v>18</v>
      </c>
      <c r="H100" s="60"/>
      <c r="I100" s="59"/>
    </row>
    <row r="101" spans="1:9" x14ac:dyDescent="0.25">
      <c r="A101" s="55">
        <v>46122</v>
      </c>
      <c r="B101" s="56" t="s">
        <v>43</v>
      </c>
      <c r="C101" s="56">
        <v>12</v>
      </c>
      <c r="D101" s="56">
        <v>0</v>
      </c>
      <c r="E101" s="56">
        <v>0</v>
      </c>
      <c r="F101" s="56">
        <v>0</v>
      </c>
      <c r="G101" s="57">
        <f t="shared" si="1"/>
        <v>12</v>
      </c>
      <c r="H101" s="60"/>
      <c r="I101" s="59"/>
    </row>
    <row r="102" spans="1:9" x14ac:dyDescent="0.25">
      <c r="A102" s="55">
        <v>46123</v>
      </c>
      <c r="B102" s="56" t="s">
        <v>43</v>
      </c>
      <c r="C102" s="56">
        <v>30</v>
      </c>
      <c r="D102" s="56">
        <v>0</v>
      </c>
      <c r="E102" s="56">
        <v>0</v>
      </c>
      <c r="F102" s="56">
        <v>0</v>
      </c>
      <c r="G102" s="57">
        <f t="shared" si="1"/>
        <v>30</v>
      </c>
      <c r="H102" s="60"/>
      <c r="I102" s="59"/>
    </row>
    <row r="103" spans="1:9" x14ac:dyDescent="0.25">
      <c r="A103" s="55">
        <v>46124</v>
      </c>
      <c r="B103" s="56" t="s">
        <v>43</v>
      </c>
      <c r="C103" s="56">
        <v>10</v>
      </c>
      <c r="D103" s="56">
        <v>2</v>
      </c>
      <c r="E103" s="56">
        <v>0</v>
      </c>
      <c r="F103" s="56">
        <v>0</v>
      </c>
      <c r="G103" s="57">
        <f t="shared" si="1"/>
        <v>8</v>
      </c>
      <c r="H103" s="61"/>
      <c r="I103" s="59"/>
    </row>
    <row r="104" spans="1:9" x14ac:dyDescent="0.25">
      <c r="A104" s="55">
        <v>46125</v>
      </c>
      <c r="B104" s="56" t="s">
        <v>43</v>
      </c>
      <c r="C104" s="56">
        <v>7</v>
      </c>
      <c r="D104" s="56">
        <v>2</v>
      </c>
      <c r="E104" s="56">
        <v>0</v>
      </c>
      <c r="F104" s="56">
        <v>0</v>
      </c>
      <c r="G104" s="57">
        <f>SUM(F104,E104,C104-D104)</f>
        <v>5</v>
      </c>
      <c r="H104" s="58">
        <f>SUM(G104:G109)</f>
        <v>295</v>
      </c>
      <c r="I104" s="59"/>
    </row>
    <row r="105" spans="1:9" x14ac:dyDescent="0.25">
      <c r="A105" s="55">
        <v>46126</v>
      </c>
      <c r="B105" s="56" t="s">
        <v>43</v>
      </c>
      <c r="C105" s="56">
        <v>38</v>
      </c>
      <c r="D105" s="56">
        <v>1</v>
      </c>
      <c r="E105" s="56">
        <v>0</v>
      </c>
      <c r="F105" s="56">
        <v>0</v>
      </c>
      <c r="G105" s="57">
        <f t="shared" si="1"/>
        <v>37</v>
      </c>
      <c r="H105" s="60"/>
      <c r="I105" s="59"/>
    </row>
    <row r="106" spans="1:9" x14ac:dyDescent="0.25">
      <c r="A106" s="55">
        <v>46127</v>
      </c>
      <c r="B106" s="56" t="s">
        <v>43</v>
      </c>
      <c r="C106" s="56">
        <v>80</v>
      </c>
      <c r="D106" s="56">
        <v>5</v>
      </c>
      <c r="E106" s="56">
        <v>0</v>
      </c>
      <c r="F106" s="56">
        <v>0</v>
      </c>
      <c r="G106" s="57">
        <f t="shared" si="1"/>
        <v>75</v>
      </c>
      <c r="H106" s="60"/>
      <c r="I106" s="59"/>
    </row>
    <row r="107" spans="1:9" x14ac:dyDescent="0.25">
      <c r="A107" s="55">
        <v>46128</v>
      </c>
      <c r="B107" s="56" t="s">
        <v>43</v>
      </c>
      <c r="C107" s="56">
        <v>106</v>
      </c>
      <c r="D107" s="56">
        <v>1</v>
      </c>
      <c r="E107" s="56">
        <v>0</v>
      </c>
      <c r="F107" s="56">
        <v>0</v>
      </c>
      <c r="G107" s="57">
        <f t="shared" si="1"/>
        <v>105</v>
      </c>
      <c r="H107" s="60"/>
      <c r="I107" s="59"/>
    </row>
    <row r="108" spans="1:9" x14ac:dyDescent="0.25">
      <c r="A108" s="55">
        <v>46129</v>
      </c>
      <c r="B108" s="56" t="s">
        <v>43</v>
      </c>
      <c r="C108" s="56">
        <v>38</v>
      </c>
      <c r="D108" s="56">
        <v>1</v>
      </c>
      <c r="E108" s="56">
        <v>0</v>
      </c>
      <c r="F108" s="56">
        <v>0</v>
      </c>
      <c r="G108" s="57">
        <f t="shared" si="1"/>
        <v>37</v>
      </c>
      <c r="H108" s="60"/>
      <c r="I108" s="59"/>
    </row>
    <row r="109" spans="1:9" x14ac:dyDescent="0.25">
      <c r="A109" s="55">
        <v>46130</v>
      </c>
      <c r="B109" s="56" t="s">
        <v>43</v>
      </c>
      <c r="C109" s="56">
        <v>36</v>
      </c>
      <c r="D109" s="56">
        <v>0</v>
      </c>
      <c r="E109" s="56">
        <v>0</v>
      </c>
      <c r="F109" s="56">
        <v>0</v>
      </c>
      <c r="G109" s="57">
        <f t="shared" si="1"/>
        <v>36</v>
      </c>
      <c r="H109" s="60"/>
      <c r="I109" s="59"/>
    </row>
    <row r="110" spans="1:9" x14ac:dyDescent="0.25">
      <c r="A110" s="55">
        <v>46131</v>
      </c>
      <c r="B110" s="56" t="s">
        <v>43</v>
      </c>
      <c r="C110" s="56">
        <v>47</v>
      </c>
      <c r="D110" s="56">
        <v>2</v>
      </c>
      <c r="E110" s="56">
        <v>0</v>
      </c>
      <c r="F110" s="56">
        <v>0</v>
      </c>
      <c r="G110" s="57">
        <f t="shared" si="1"/>
        <v>45</v>
      </c>
      <c r="H110" s="61"/>
      <c r="I110" s="59"/>
    </row>
    <row r="111" spans="1:9" x14ac:dyDescent="0.25">
      <c r="A111" s="55">
        <v>46132</v>
      </c>
      <c r="B111" s="56" t="s">
        <v>43</v>
      </c>
      <c r="C111" s="56">
        <v>39</v>
      </c>
      <c r="D111" s="56">
        <v>2</v>
      </c>
      <c r="E111" s="56">
        <v>0</v>
      </c>
      <c r="F111" s="56">
        <v>0</v>
      </c>
      <c r="G111" s="57">
        <f t="shared" si="1"/>
        <v>37</v>
      </c>
      <c r="H111" s="58">
        <f>SUM(G111:G117)</f>
        <v>514</v>
      </c>
      <c r="I111" s="59"/>
    </row>
    <row r="112" spans="1:9" x14ac:dyDescent="0.25">
      <c r="A112" s="55">
        <v>46133</v>
      </c>
      <c r="B112" s="56" t="s">
        <v>43</v>
      </c>
      <c r="C112" s="56">
        <v>34</v>
      </c>
      <c r="D112" s="56">
        <v>2</v>
      </c>
      <c r="E112" s="56">
        <v>0</v>
      </c>
      <c r="F112" s="56">
        <v>0</v>
      </c>
      <c r="G112" s="57">
        <f t="shared" si="1"/>
        <v>32</v>
      </c>
      <c r="H112" s="60"/>
      <c r="I112" s="59"/>
    </row>
    <row r="113" spans="1:9" x14ac:dyDescent="0.25">
      <c r="A113" s="55">
        <v>46134</v>
      </c>
      <c r="B113" s="56" t="s">
        <v>43</v>
      </c>
      <c r="C113" s="56">
        <v>168</v>
      </c>
      <c r="D113" s="56">
        <v>2</v>
      </c>
      <c r="E113" s="56">
        <v>0</v>
      </c>
      <c r="F113" s="56">
        <v>0</v>
      </c>
      <c r="G113" s="57">
        <f t="shared" si="1"/>
        <v>166</v>
      </c>
      <c r="H113" s="60"/>
      <c r="I113" s="59"/>
    </row>
    <row r="114" spans="1:9" x14ac:dyDescent="0.25">
      <c r="A114" s="55">
        <v>46135</v>
      </c>
      <c r="B114" s="56" t="s">
        <v>43</v>
      </c>
      <c r="C114" s="56">
        <v>90</v>
      </c>
      <c r="D114" s="56">
        <v>4</v>
      </c>
      <c r="E114" s="56">
        <v>0</v>
      </c>
      <c r="F114" s="56">
        <v>0</v>
      </c>
      <c r="G114" s="57">
        <f t="shared" si="1"/>
        <v>86</v>
      </c>
      <c r="H114" s="60"/>
      <c r="I114" s="59"/>
    </row>
    <row r="115" spans="1:9" x14ac:dyDescent="0.25">
      <c r="A115" s="55">
        <v>46136</v>
      </c>
      <c r="B115" s="56" t="s">
        <v>43</v>
      </c>
      <c r="C115" s="56">
        <v>25</v>
      </c>
      <c r="D115" s="56">
        <v>2</v>
      </c>
      <c r="E115" s="56">
        <v>0</v>
      </c>
      <c r="F115" s="56">
        <v>0</v>
      </c>
      <c r="G115" s="57">
        <f t="shared" si="1"/>
        <v>23</v>
      </c>
      <c r="H115" s="60"/>
      <c r="I115" s="59"/>
    </row>
    <row r="116" spans="1:9" x14ac:dyDescent="0.25">
      <c r="A116" s="55">
        <v>46137</v>
      </c>
      <c r="B116" s="56" t="s">
        <v>43</v>
      </c>
      <c r="C116" s="56">
        <v>130</v>
      </c>
      <c r="D116" s="56">
        <v>1</v>
      </c>
      <c r="E116" s="56">
        <v>0</v>
      </c>
      <c r="F116" s="56">
        <v>0</v>
      </c>
      <c r="G116" s="57">
        <f t="shared" si="1"/>
        <v>129</v>
      </c>
      <c r="H116" s="60"/>
      <c r="I116" s="59"/>
    </row>
    <row r="117" spans="1:9" x14ac:dyDescent="0.25">
      <c r="A117" s="55">
        <v>46138</v>
      </c>
      <c r="B117" s="56" t="s">
        <v>43</v>
      </c>
      <c r="C117" s="56">
        <v>44</v>
      </c>
      <c r="D117" s="56">
        <v>3</v>
      </c>
      <c r="E117" s="56">
        <v>0</v>
      </c>
      <c r="F117" s="56">
        <v>0</v>
      </c>
      <c r="G117" s="57">
        <f t="shared" si="1"/>
        <v>41</v>
      </c>
      <c r="H117" s="61"/>
      <c r="I117" s="59"/>
    </row>
    <row r="118" spans="1:9" x14ac:dyDescent="0.25">
      <c r="A118" s="55">
        <v>46139</v>
      </c>
      <c r="B118" s="56" t="s">
        <v>43</v>
      </c>
      <c r="C118" s="56">
        <v>52</v>
      </c>
      <c r="D118" s="56">
        <v>3</v>
      </c>
      <c r="E118" s="56">
        <v>0</v>
      </c>
      <c r="F118" s="56">
        <v>0</v>
      </c>
      <c r="G118" s="57">
        <f t="shared" si="1"/>
        <v>49</v>
      </c>
      <c r="H118" s="58">
        <f>SUM(G118:G124)</f>
        <v>272</v>
      </c>
      <c r="I118" s="59"/>
    </row>
    <row r="119" spans="1:9" x14ac:dyDescent="0.25">
      <c r="A119" s="55">
        <v>46140</v>
      </c>
      <c r="B119" s="56" t="s">
        <v>43</v>
      </c>
      <c r="C119" s="56">
        <v>52</v>
      </c>
      <c r="D119" s="56">
        <v>3</v>
      </c>
      <c r="E119" s="56">
        <v>0</v>
      </c>
      <c r="F119" s="56">
        <v>0</v>
      </c>
      <c r="G119" s="57">
        <f t="shared" si="1"/>
        <v>49</v>
      </c>
      <c r="H119" s="60"/>
      <c r="I119" s="59"/>
    </row>
    <row r="120" spans="1:9" x14ac:dyDescent="0.25">
      <c r="A120" s="55">
        <v>46141</v>
      </c>
      <c r="B120" s="56" t="s">
        <v>43</v>
      </c>
      <c r="C120" s="56">
        <v>53</v>
      </c>
      <c r="D120" s="56">
        <v>3</v>
      </c>
      <c r="E120" s="56">
        <v>0</v>
      </c>
      <c r="F120" s="56">
        <v>0</v>
      </c>
      <c r="G120" s="57">
        <f t="shared" si="1"/>
        <v>50</v>
      </c>
      <c r="H120" s="60"/>
      <c r="I120" s="59"/>
    </row>
    <row r="121" spans="1:9" x14ac:dyDescent="0.25">
      <c r="A121" s="55">
        <v>46142</v>
      </c>
      <c r="B121" s="56" t="s">
        <v>43</v>
      </c>
      <c r="C121" s="56">
        <v>23</v>
      </c>
      <c r="D121" s="56">
        <v>2</v>
      </c>
      <c r="E121" s="56">
        <v>0</v>
      </c>
      <c r="F121" s="56">
        <v>0</v>
      </c>
      <c r="G121" s="57">
        <f t="shared" si="1"/>
        <v>21</v>
      </c>
      <c r="H121" s="60"/>
      <c r="I121" s="59"/>
    </row>
    <row r="122" spans="1:9" x14ac:dyDescent="0.25">
      <c r="A122" s="55">
        <v>46143</v>
      </c>
      <c r="B122" s="56" t="s">
        <v>43</v>
      </c>
      <c r="C122" s="56">
        <v>46</v>
      </c>
      <c r="D122" s="56">
        <v>1</v>
      </c>
      <c r="E122" s="56">
        <v>0</v>
      </c>
      <c r="F122" s="56">
        <v>0</v>
      </c>
      <c r="G122" s="57">
        <f t="shared" si="1"/>
        <v>45</v>
      </c>
      <c r="H122" s="60"/>
      <c r="I122" s="59"/>
    </row>
    <row r="123" spans="1:9" x14ac:dyDescent="0.25">
      <c r="A123" s="55">
        <v>46144</v>
      </c>
      <c r="B123" s="56" t="s">
        <v>43</v>
      </c>
      <c r="C123" s="56">
        <v>39</v>
      </c>
      <c r="D123" s="56">
        <v>4</v>
      </c>
      <c r="E123" s="56">
        <v>0</v>
      </c>
      <c r="F123" s="56">
        <v>0</v>
      </c>
      <c r="G123" s="57">
        <f t="shared" si="1"/>
        <v>35</v>
      </c>
      <c r="H123" s="60"/>
      <c r="I123" s="59"/>
    </row>
    <row r="124" spans="1:9" x14ac:dyDescent="0.25">
      <c r="A124" s="55">
        <v>46145</v>
      </c>
      <c r="B124" s="56" t="s">
        <v>43</v>
      </c>
      <c r="C124" s="56">
        <v>23</v>
      </c>
      <c r="D124" s="56">
        <v>0</v>
      </c>
      <c r="E124" s="56">
        <v>0</v>
      </c>
      <c r="F124" s="56">
        <v>0</v>
      </c>
      <c r="G124" s="57">
        <f t="shared" si="1"/>
        <v>23</v>
      </c>
      <c r="H124" s="61"/>
      <c r="I124" s="59"/>
    </row>
    <row r="125" spans="1:9" x14ac:dyDescent="0.25">
      <c r="A125" s="55">
        <v>46146</v>
      </c>
      <c r="B125" s="56" t="s">
        <v>43</v>
      </c>
      <c r="C125" s="56">
        <v>0</v>
      </c>
      <c r="D125" s="56">
        <v>0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</row>
    <row r="126" spans="1:9" x14ac:dyDescent="0.25">
      <c r="A126" s="55">
        <v>46147</v>
      </c>
      <c r="B126" s="56" t="s">
        <v>43</v>
      </c>
      <c r="C126" s="56">
        <v>0</v>
      </c>
      <c r="D126" s="56">
        <v>0</v>
      </c>
      <c r="E126" s="56">
        <v>0</v>
      </c>
      <c r="F126" s="56">
        <v>0</v>
      </c>
      <c r="G126" s="57">
        <f t="shared" si="1"/>
        <v>0</v>
      </c>
      <c r="H126" s="60"/>
      <c r="I126" s="59"/>
    </row>
    <row r="127" spans="1:9" x14ac:dyDescent="0.25">
      <c r="A127" s="55">
        <v>46148</v>
      </c>
      <c r="B127" s="56" t="s">
        <v>43</v>
      </c>
      <c r="C127" s="56">
        <v>0</v>
      </c>
      <c r="D127" s="56">
        <v>0</v>
      </c>
      <c r="E127" s="56">
        <v>0</v>
      </c>
      <c r="F127" s="56">
        <v>0</v>
      </c>
      <c r="G127" s="57">
        <f t="shared" si="1"/>
        <v>0</v>
      </c>
      <c r="H127" s="60"/>
      <c r="I127" s="59"/>
    </row>
    <row r="128" spans="1:9" x14ac:dyDescent="0.25">
      <c r="A128" s="55">
        <v>46149</v>
      </c>
      <c r="B128" s="56" t="s">
        <v>43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</row>
    <row r="129" spans="1:9" x14ac:dyDescent="0.25">
      <c r="A129" s="55">
        <v>46150</v>
      </c>
      <c r="B129" s="56" t="s">
        <v>43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</row>
    <row r="130" spans="1:9" x14ac:dyDescent="0.25">
      <c r="A130" s="55">
        <v>46151</v>
      </c>
      <c r="B130" s="56" t="s">
        <v>43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</row>
    <row r="131" spans="1:9" x14ac:dyDescent="0.25">
      <c r="A131" s="55">
        <v>46152</v>
      </c>
      <c r="B131" s="56" t="s">
        <v>43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SUM(F131,E131,C131-D131)</f>
        <v>0</v>
      </c>
      <c r="H131" s="61"/>
      <c r="I131" s="59"/>
    </row>
    <row r="132" spans="1:9" x14ac:dyDescent="0.25">
      <c r="A132" s="55">
        <v>46153</v>
      </c>
      <c r="B132" s="56" t="s">
        <v>43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 t="shared" ref="H132" si="3">SUM(G132:G138)</f>
        <v>0</v>
      </c>
      <c r="I132" s="59"/>
    </row>
    <row r="133" spans="1:9" x14ac:dyDescent="0.25">
      <c r="A133" s="55">
        <v>46154</v>
      </c>
      <c r="B133" s="56" t="s">
        <v>43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</row>
    <row r="134" spans="1:9" x14ac:dyDescent="0.25">
      <c r="A134" s="55">
        <v>46155</v>
      </c>
      <c r="B134" s="56" t="s">
        <v>43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</row>
    <row r="135" spans="1:9" x14ac:dyDescent="0.25">
      <c r="A135" s="55">
        <v>46156</v>
      </c>
      <c r="B135" s="56" t="s">
        <v>43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</row>
    <row r="136" spans="1:9" x14ac:dyDescent="0.25">
      <c r="A136" s="55">
        <v>46157</v>
      </c>
      <c r="B136" s="56" t="s">
        <v>43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</row>
    <row r="137" spans="1:9" x14ac:dyDescent="0.25">
      <c r="A137" s="55">
        <v>46158</v>
      </c>
      <c r="B137" s="56" t="s">
        <v>43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</row>
    <row r="138" spans="1:9" x14ac:dyDescent="0.25">
      <c r="A138" s="55">
        <v>46159</v>
      </c>
      <c r="B138" s="56" t="s">
        <v>43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</row>
    <row r="139" spans="1:9" x14ac:dyDescent="0.25">
      <c r="A139" s="55">
        <v>46160</v>
      </c>
      <c r="B139" s="56" t="s">
        <v>43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 t="shared" ref="H139" si="4">SUM(G139:G145)</f>
        <v>0</v>
      </c>
      <c r="I139" s="59"/>
    </row>
    <row r="140" spans="1:9" x14ac:dyDescent="0.25">
      <c r="A140" s="55">
        <v>46161</v>
      </c>
      <c r="B140" s="56" t="s">
        <v>43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</row>
    <row r="141" spans="1:9" x14ac:dyDescent="0.25">
      <c r="A141" s="55">
        <v>46162</v>
      </c>
      <c r="B141" s="56" t="s">
        <v>43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</row>
    <row r="142" spans="1:9" x14ac:dyDescent="0.25">
      <c r="A142" s="55">
        <v>46163</v>
      </c>
      <c r="B142" s="56" t="s">
        <v>43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</row>
    <row r="143" spans="1:9" x14ac:dyDescent="0.25">
      <c r="A143" s="55">
        <v>46164</v>
      </c>
      <c r="B143" s="56" t="s">
        <v>43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</row>
    <row r="144" spans="1:9" x14ac:dyDescent="0.25">
      <c r="A144" s="55">
        <v>46165</v>
      </c>
      <c r="B144" s="56" t="s">
        <v>43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</row>
    <row r="145" spans="1:9" x14ac:dyDescent="0.25">
      <c r="A145" s="55">
        <v>46166</v>
      </c>
      <c r="B145" s="56" t="s">
        <v>43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</row>
    <row r="146" spans="1:9" x14ac:dyDescent="0.25">
      <c r="A146" s="55">
        <v>46167</v>
      </c>
      <c r="B146" s="56" t="s">
        <v>43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 t="shared" ref="H146" si="5">SUM(G146:G152)</f>
        <v>0</v>
      </c>
      <c r="I146" s="59"/>
    </row>
    <row r="147" spans="1:9" x14ac:dyDescent="0.25">
      <c r="A147" s="55">
        <v>46168</v>
      </c>
      <c r="B147" s="56" t="s">
        <v>43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</row>
    <row r="148" spans="1:9" x14ac:dyDescent="0.25">
      <c r="A148" s="55">
        <v>46169</v>
      </c>
      <c r="B148" s="56" t="s">
        <v>43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</row>
    <row r="149" spans="1:9" x14ac:dyDescent="0.25">
      <c r="A149" s="55">
        <v>46170</v>
      </c>
      <c r="B149" s="56" t="s">
        <v>43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</row>
    <row r="150" spans="1:9" x14ac:dyDescent="0.25">
      <c r="A150" s="55">
        <v>46171</v>
      </c>
      <c r="B150" s="56" t="s">
        <v>43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</row>
    <row r="151" spans="1:9" x14ac:dyDescent="0.25">
      <c r="A151" s="55">
        <v>46172</v>
      </c>
      <c r="B151" s="56" t="s">
        <v>43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</row>
    <row r="152" spans="1:9" x14ac:dyDescent="0.25">
      <c r="A152" s="55">
        <v>46173</v>
      </c>
      <c r="B152" s="56" t="s">
        <v>43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</row>
    <row r="153" spans="1:9" x14ac:dyDescent="0.25">
      <c r="A153" s="55">
        <v>46174</v>
      </c>
      <c r="B153" s="56" t="s">
        <v>43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 t="shared" ref="H153" si="6">SUM(G153:G159)</f>
        <v>0</v>
      </c>
      <c r="I153" s="59"/>
    </row>
    <row r="154" spans="1:9" x14ac:dyDescent="0.25">
      <c r="A154" s="55">
        <v>46175</v>
      </c>
      <c r="B154" s="56" t="s">
        <v>43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</row>
    <row r="155" spans="1:9" x14ac:dyDescent="0.25">
      <c r="A155" s="55">
        <v>46176</v>
      </c>
      <c r="B155" s="56" t="s">
        <v>43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</row>
    <row r="156" spans="1:9" x14ac:dyDescent="0.25">
      <c r="A156" s="55">
        <v>46177</v>
      </c>
      <c r="B156" s="56" t="s">
        <v>43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</row>
    <row r="157" spans="1:9" x14ac:dyDescent="0.25">
      <c r="A157" s="55">
        <v>46178</v>
      </c>
      <c r="B157" s="56" t="s">
        <v>43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</row>
    <row r="158" spans="1:9" x14ac:dyDescent="0.25">
      <c r="A158" s="55">
        <v>46179</v>
      </c>
      <c r="B158" s="56" t="s">
        <v>43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</row>
    <row r="159" spans="1:9" x14ac:dyDescent="0.25">
      <c r="A159" s="55">
        <v>46180</v>
      </c>
      <c r="B159" s="56" t="s">
        <v>43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</row>
    <row r="160" spans="1:9" x14ac:dyDescent="0.25">
      <c r="A160" s="55">
        <v>46181</v>
      </c>
      <c r="B160" s="56" t="s">
        <v>43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 t="shared" ref="H160" si="7">SUM(G160:G166)</f>
        <v>0</v>
      </c>
      <c r="I160" s="59"/>
    </row>
    <row r="161" spans="1:9" x14ac:dyDescent="0.25">
      <c r="A161" s="55">
        <v>46182</v>
      </c>
      <c r="B161" s="56" t="s">
        <v>43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</row>
    <row r="162" spans="1:9" x14ac:dyDescent="0.25">
      <c r="A162" s="55">
        <v>46183</v>
      </c>
      <c r="B162" s="56" t="s">
        <v>43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</row>
    <row r="163" spans="1:9" x14ac:dyDescent="0.25">
      <c r="A163" s="55">
        <v>46184</v>
      </c>
      <c r="B163" s="56" t="s">
        <v>43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</row>
    <row r="164" spans="1:9" x14ac:dyDescent="0.25">
      <c r="A164" s="55">
        <v>46185</v>
      </c>
      <c r="B164" s="56" t="s">
        <v>43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</row>
    <row r="165" spans="1:9" x14ac:dyDescent="0.25">
      <c r="A165" s="55">
        <v>46186</v>
      </c>
      <c r="B165" s="56" t="s">
        <v>43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</row>
    <row r="166" spans="1:9" x14ac:dyDescent="0.25">
      <c r="A166" s="55">
        <v>46187</v>
      </c>
      <c r="B166" s="56" t="s">
        <v>43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</row>
    <row r="167" spans="1:9" x14ac:dyDescent="0.25">
      <c r="A167" s="55">
        <v>46188</v>
      </c>
      <c r="B167" s="56" t="s">
        <v>43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 t="shared" ref="H167" si="8">SUM(G167:G173)</f>
        <v>0</v>
      </c>
      <c r="I167" s="59"/>
    </row>
    <row r="168" spans="1:9" x14ac:dyDescent="0.25">
      <c r="A168" s="55">
        <v>46189</v>
      </c>
      <c r="B168" s="56" t="s">
        <v>43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</row>
    <row r="169" spans="1:9" x14ac:dyDescent="0.25">
      <c r="A169" s="55">
        <v>46190</v>
      </c>
      <c r="B169" s="56" t="s">
        <v>43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</row>
    <row r="170" spans="1:9" x14ac:dyDescent="0.25">
      <c r="A170" s="55">
        <v>46191</v>
      </c>
      <c r="B170" s="56" t="s">
        <v>43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</row>
    <row r="171" spans="1:9" x14ac:dyDescent="0.25">
      <c r="A171" s="55">
        <v>46192</v>
      </c>
      <c r="B171" s="56" t="s">
        <v>43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</row>
    <row r="172" spans="1:9" x14ac:dyDescent="0.25">
      <c r="A172" s="55">
        <v>46193</v>
      </c>
      <c r="B172" s="56" t="s">
        <v>43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</row>
    <row r="173" spans="1:9" x14ac:dyDescent="0.25">
      <c r="A173" s="55">
        <v>46194</v>
      </c>
      <c r="B173" s="56" t="s">
        <v>43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</row>
    <row r="174" spans="1:9" x14ac:dyDescent="0.25">
      <c r="A174" s="55">
        <v>46195</v>
      </c>
      <c r="B174" s="56" t="s">
        <v>43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 t="shared" ref="H174" si="9">SUM(G174:G180)</f>
        <v>0</v>
      </c>
      <c r="I174" s="59"/>
    </row>
    <row r="175" spans="1:9" x14ac:dyDescent="0.25">
      <c r="A175" s="55">
        <v>46196</v>
      </c>
      <c r="B175" s="56" t="s">
        <v>43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</row>
    <row r="176" spans="1:9" x14ac:dyDescent="0.25">
      <c r="A176" s="55">
        <v>46197</v>
      </c>
      <c r="B176" s="56" t="s">
        <v>43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</row>
    <row r="177" spans="1:9" x14ac:dyDescent="0.25">
      <c r="A177" s="55">
        <v>46198</v>
      </c>
      <c r="B177" s="56" t="s">
        <v>43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</row>
    <row r="178" spans="1:9" x14ac:dyDescent="0.25">
      <c r="A178" s="55">
        <v>46199</v>
      </c>
      <c r="B178" s="56" t="s">
        <v>43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</row>
    <row r="179" spans="1:9" x14ac:dyDescent="0.25">
      <c r="A179" s="55">
        <v>46200</v>
      </c>
      <c r="B179" s="56" t="s">
        <v>43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</row>
    <row r="180" spans="1:9" x14ac:dyDescent="0.25">
      <c r="A180" s="55">
        <v>46201</v>
      </c>
      <c r="B180" s="56" t="s">
        <v>43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</row>
    <row r="181" spans="1:9" x14ac:dyDescent="0.25">
      <c r="A181" s="55">
        <v>46202</v>
      </c>
      <c r="B181" s="56" t="s">
        <v>43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 t="shared" ref="H181" si="10">SUM(G181:G187)</f>
        <v>0</v>
      </c>
      <c r="I181" s="59"/>
    </row>
    <row r="182" spans="1:9" x14ac:dyDescent="0.25">
      <c r="A182" s="55">
        <v>46203</v>
      </c>
      <c r="B182" s="56" t="s">
        <v>43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</row>
    <row r="183" spans="1:9" x14ac:dyDescent="0.25">
      <c r="A183" s="55">
        <v>46204</v>
      </c>
      <c r="B183" s="56" t="s">
        <v>43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</row>
    <row r="184" spans="1:9" x14ac:dyDescent="0.25">
      <c r="A184" s="55">
        <v>46205</v>
      </c>
      <c r="B184" s="56" t="s">
        <v>43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</row>
    <row r="185" spans="1:9" x14ac:dyDescent="0.25">
      <c r="A185" s="55">
        <v>46206</v>
      </c>
      <c r="B185" s="56" t="s">
        <v>43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</row>
    <row r="186" spans="1:9" x14ac:dyDescent="0.25">
      <c r="A186" s="55">
        <v>46207</v>
      </c>
      <c r="B186" s="56" t="s">
        <v>43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</row>
    <row r="187" spans="1:9" x14ac:dyDescent="0.25">
      <c r="A187" s="55">
        <v>46208</v>
      </c>
      <c r="B187" s="56" t="s">
        <v>43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</row>
    <row r="188" spans="1:9" x14ac:dyDescent="0.25">
      <c r="A188" s="55">
        <v>46209</v>
      </c>
      <c r="B188" s="56" t="s">
        <v>43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 t="shared" ref="H188" si="11">SUM(G188:G194)</f>
        <v>0</v>
      </c>
      <c r="I188" s="59"/>
    </row>
    <row r="189" spans="1:9" x14ac:dyDescent="0.25">
      <c r="A189" s="55">
        <v>46210</v>
      </c>
      <c r="B189" s="56" t="s">
        <v>43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</row>
    <row r="190" spans="1:9" x14ac:dyDescent="0.25">
      <c r="A190" s="55">
        <v>46211</v>
      </c>
      <c r="B190" s="56" t="s">
        <v>43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</row>
    <row r="191" spans="1:9" x14ac:dyDescent="0.25">
      <c r="A191" s="55">
        <v>46212</v>
      </c>
      <c r="B191" s="56" t="s">
        <v>43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</row>
    <row r="192" spans="1:9" x14ac:dyDescent="0.25">
      <c r="A192" s="55">
        <v>46213</v>
      </c>
      <c r="B192" s="56" t="s">
        <v>43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</row>
    <row r="193" spans="1:9" x14ac:dyDescent="0.25">
      <c r="A193" s="55">
        <v>46214</v>
      </c>
      <c r="B193" s="56" t="s">
        <v>43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</row>
    <row r="194" spans="1:9" x14ac:dyDescent="0.25">
      <c r="A194" s="55">
        <v>46215</v>
      </c>
      <c r="B194" s="56" t="s">
        <v>43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</row>
    <row r="195" spans="1:9" x14ac:dyDescent="0.25">
      <c r="A195" s="55">
        <v>46216</v>
      </c>
      <c r="B195" s="56" t="s">
        <v>43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12">SUM(F195,E195,C195-D195)</f>
        <v>0</v>
      </c>
      <c r="H195" s="58">
        <f t="shared" ref="H195" si="13">SUM(G195:G201)</f>
        <v>0</v>
      </c>
      <c r="I195" s="59"/>
    </row>
    <row r="196" spans="1:9" x14ac:dyDescent="0.25">
      <c r="A196" s="55">
        <v>46217</v>
      </c>
      <c r="B196" s="56" t="s">
        <v>43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12"/>
        <v>0</v>
      </c>
      <c r="H196" s="60"/>
      <c r="I196" s="59"/>
    </row>
    <row r="197" spans="1:9" x14ac:dyDescent="0.25">
      <c r="A197" s="55">
        <v>46218</v>
      </c>
      <c r="B197" s="56" t="s">
        <v>43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12"/>
        <v>0</v>
      </c>
      <c r="H197" s="60"/>
      <c r="I197" s="59"/>
    </row>
    <row r="198" spans="1:9" x14ac:dyDescent="0.25">
      <c r="A198" s="55">
        <v>46219</v>
      </c>
      <c r="B198" s="56" t="s">
        <v>43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12"/>
        <v>0</v>
      </c>
      <c r="H198" s="60"/>
      <c r="I198" s="59"/>
    </row>
    <row r="199" spans="1:9" x14ac:dyDescent="0.25">
      <c r="A199" s="55">
        <v>46220</v>
      </c>
      <c r="B199" s="56" t="s">
        <v>43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12"/>
        <v>0</v>
      </c>
      <c r="H199" s="60"/>
      <c r="I199" s="59"/>
    </row>
    <row r="200" spans="1:9" x14ac:dyDescent="0.25">
      <c r="A200" s="55">
        <v>46221</v>
      </c>
      <c r="B200" s="56" t="s">
        <v>43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12"/>
        <v>0</v>
      </c>
      <c r="H200" s="60"/>
      <c r="I200" s="59"/>
    </row>
    <row r="201" spans="1:9" x14ac:dyDescent="0.25">
      <c r="A201" s="55">
        <v>46222</v>
      </c>
      <c r="B201" s="56" t="s">
        <v>43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12"/>
        <v>0</v>
      </c>
      <c r="H201" s="61"/>
      <c r="I201" s="59"/>
    </row>
    <row r="202" spans="1:9" x14ac:dyDescent="0.25">
      <c r="A202" s="55">
        <v>46223</v>
      </c>
      <c r="B202" s="56" t="s">
        <v>43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12"/>
        <v>0</v>
      </c>
      <c r="H202" s="58">
        <f t="shared" ref="H202" si="14">SUM(G202:G208)</f>
        <v>0</v>
      </c>
      <c r="I202" s="59"/>
    </row>
    <row r="203" spans="1:9" x14ac:dyDescent="0.25">
      <c r="A203" s="55">
        <v>46224</v>
      </c>
      <c r="B203" s="56" t="s">
        <v>43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12"/>
        <v>0</v>
      </c>
      <c r="H203" s="60"/>
      <c r="I203" s="59"/>
    </row>
    <row r="204" spans="1:9" x14ac:dyDescent="0.25">
      <c r="A204" s="55">
        <v>46225</v>
      </c>
      <c r="B204" s="56" t="s">
        <v>43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12"/>
        <v>0</v>
      </c>
      <c r="H204" s="60"/>
      <c r="I204" s="59"/>
    </row>
    <row r="205" spans="1:9" x14ac:dyDescent="0.25">
      <c r="A205" s="55">
        <v>46226</v>
      </c>
      <c r="B205" s="56" t="s">
        <v>43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12"/>
        <v>0</v>
      </c>
      <c r="H205" s="60"/>
      <c r="I205" s="59"/>
    </row>
    <row r="206" spans="1:9" x14ac:dyDescent="0.25">
      <c r="A206" s="55">
        <v>46227</v>
      </c>
      <c r="B206" s="56" t="s">
        <v>43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12"/>
        <v>0</v>
      </c>
      <c r="H206" s="60"/>
      <c r="I206" s="59"/>
    </row>
    <row r="207" spans="1:9" x14ac:dyDescent="0.25">
      <c r="A207" s="55">
        <v>46228</v>
      </c>
      <c r="B207" s="56" t="s">
        <v>43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12"/>
        <v>0</v>
      </c>
      <c r="H207" s="60"/>
      <c r="I207" s="59"/>
    </row>
    <row r="208" spans="1:9" x14ac:dyDescent="0.25">
      <c r="A208" s="55">
        <v>46229</v>
      </c>
      <c r="B208" s="56" t="s">
        <v>43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12"/>
        <v>0</v>
      </c>
      <c r="H208" s="61"/>
      <c r="I208" s="59"/>
    </row>
    <row r="209" spans="1:9" x14ac:dyDescent="0.25">
      <c r="A209" s="55">
        <v>46230</v>
      </c>
      <c r="B209" s="56" t="s">
        <v>43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12"/>
        <v>0</v>
      </c>
      <c r="H209" s="58">
        <f t="shared" ref="H209" si="15">SUM(G209:G215)</f>
        <v>0</v>
      </c>
      <c r="I209" s="59"/>
    </row>
    <row r="210" spans="1:9" x14ac:dyDescent="0.25">
      <c r="A210" s="55">
        <v>46231</v>
      </c>
      <c r="B210" s="56" t="s">
        <v>43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12"/>
        <v>0</v>
      </c>
      <c r="H210" s="60"/>
      <c r="I210" s="59"/>
    </row>
    <row r="211" spans="1:9" x14ac:dyDescent="0.25">
      <c r="A211" s="55">
        <v>46232</v>
      </c>
      <c r="B211" s="56" t="s">
        <v>43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12"/>
        <v>0</v>
      </c>
      <c r="H211" s="60"/>
      <c r="I211" s="59"/>
    </row>
    <row r="212" spans="1:9" x14ac:dyDescent="0.25">
      <c r="A212" s="55">
        <v>46233</v>
      </c>
      <c r="B212" s="56" t="s">
        <v>43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12"/>
        <v>0</v>
      </c>
      <c r="H212" s="60"/>
      <c r="I212" s="59"/>
    </row>
    <row r="213" spans="1:9" x14ac:dyDescent="0.25">
      <c r="A213" s="55">
        <v>46234</v>
      </c>
      <c r="B213" s="56" t="s">
        <v>43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12"/>
        <v>0</v>
      </c>
      <c r="H213" s="60"/>
      <c r="I213" s="59"/>
    </row>
    <row r="214" spans="1:9" x14ac:dyDescent="0.25">
      <c r="A214" s="55">
        <v>46235</v>
      </c>
      <c r="B214" s="56" t="s">
        <v>43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12"/>
        <v>0</v>
      </c>
      <c r="H214" s="60"/>
      <c r="I214" s="59"/>
    </row>
    <row r="215" spans="1:9" x14ac:dyDescent="0.25">
      <c r="A215" s="55">
        <v>46236</v>
      </c>
      <c r="B215" s="56" t="s">
        <v>43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12"/>
        <v>0</v>
      </c>
      <c r="H215" s="61"/>
      <c r="I215" s="59"/>
    </row>
    <row r="216" spans="1:9" x14ac:dyDescent="0.25">
      <c r="A216" s="55">
        <v>46237</v>
      </c>
      <c r="B216" s="56" t="s">
        <v>43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12"/>
        <v>0</v>
      </c>
      <c r="H216" s="58">
        <f t="shared" ref="H216" si="16">SUM(G216:G222)</f>
        <v>0</v>
      </c>
      <c r="I216" s="59"/>
    </row>
    <row r="217" spans="1:9" x14ac:dyDescent="0.25">
      <c r="A217" s="55">
        <v>46238</v>
      </c>
      <c r="B217" s="56" t="s">
        <v>43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12"/>
        <v>0</v>
      </c>
      <c r="H217" s="60"/>
      <c r="I217" s="59"/>
    </row>
    <row r="218" spans="1:9" x14ac:dyDescent="0.25">
      <c r="A218" s="55">
        <v>46239</v>
      </c>
      <c r="B218" s="56" t="s">
        <v>43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12"/>
        <v>0</v>
      </c>
      <c r="H218" s="60"/>
      <c r="I218" s="59"/>
    </row>
    <row r="219" spans="1:9" x14ac:dyDescent="0.25">
      <c r="A219" s="55">
        <v>46240</v>
      </c>
      <c r="B219" s="56" t="s">
        <v>43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12"/>
        <v>0</v>
      </c>
      <c r="H219" s="60"/>
      <c r="I219" s="59"/>
    </row>
    <row r="220" spans="1:9" x14ac:dyDescent="0.25">
      <c r="A220" s="55">
        <v>46241</v>
      </c>
      <c r="B220" s="56" t="s">
        <v>43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12"/>
        <v>0</v>
      </c>
      <c r="H220" s="60"/>
      <c r="I220" s="59"/>
    </row>
    <row r="221" spans="1:9" x14ac:dyDescent="0.25">
      <c r="A221" s="55">
        <v>46242</v>
      </c>
      <c r="B221" s="56" t="s">
        <v>43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12"/>
        <v>0</v>
      </c>
      <c r="H221" s="60"/>
      <c r="I221" s="59"/>
    </row>
    <row r="222" spans="1:9" x14ac:dyDescent="0.25">
      <c r="A222" s="55">
        <v>46243</v>
      </c>
      <c r="B222" s="56" t="s">
        <v>43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12"/>
        <v>0</v>
      </c>
      <c r="H222" s="61"/>
      <c r="I222" s="59"/>
    </row>
    <row r="223" spans="1:9" x14ac:dyDescent="0.25">
      <c r="A223" s="55">
        <v>46244</v>
      </c>
      <c r="B223" s="56" t="s">
        <v>43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12"/>
        <v>0</v>
      </c>
      <c r="H223" s="58">
        <f t="shared" ref="H223" si="17">SUM(G223:G229)</f>
        <v>0</v>
      </c>
      <c r="I223" s="59"/>
    </row>
    <row r="224" spans="1:9" x14ac:dyDescent="0.25">
      <c r="A224" s="55">
        <v>46245</v>
      </c>
      <c r="B224" s="56" t="s">
        <v>43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12"/>
        <v>0</v>
      </c>
      <c r="H224" s="60"/>
      <c r="I224" s="59"/>
    </row>
    <row r="225" spans="1:9" x14ac:dyDescent="0.25">
      <c r="A225" s="55">
        <v>46246</v>
      </c>
      <c r="B225" s="56" t="s">
        <v>43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12"/>
        <v>0</v>
      </c>
      <c r="H225" s="60"/>
      <c r="I225" s="59"/>
    </row>
    <row r="226" spans="1:9" x14ac:dyDescent="0.25">
      <c r="A226" s="55">
        <v>46247</v>
      </c>
      <c r="B226" s="56" t="s">
        <v>43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12"/>
        <v>0</v>
      </c>
      <c r="H226" s="60"/>
      <c r="I226" s="59"/>
    </row>
    <row r="227" spans="1:9" x14ac:dyDescent="0.25">
      <c r="A227" s="55">
        <v>46248</v>
      </c>
      <c r="B227" s="56" t="s">
        <v>43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12"/>
        <v>0</v>
      </c>
      <c r="H227" s="60"/>
      <c r="I227" s="59"/>
    </row>
    <row r="228" spans="1:9" x14ac:dyDescent="0.25">
      <c r="A228" s="55">
        <v>46249</v>
      </c>
      <c r="B228" s="56" t="s">
        <v>43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12"/>
        <v>0</v>
      </c>
      <c r="H228" s="60"/>
      <c r="I228" s="59"/>
    </row>
    <row r="229" spans="1:9" x14ac:dyDescent="0.25">
      <c r="A229" s="55">
        <v>46250</v>
      </c>
      <c r="B229" s="56" t="s">
        <v>43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12"/>
        <v>0</v>
      </c>
      <c r="H229" s="61"/>
      <c r="I229" s="59"/>
    </row>
    <row r="230" spans="1:9" x14ac:dyDescent="0.25">
      <c r="A230" s="55">
        <v>46251</v>
      </c>
      <c r="B230" s="56" t="s">
        <v>43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12"/>
        <v>0</v>
      </c>
      <c r="H230" s="58">
        <f t="shared" ref="H230" si="18">SUM(G230:G236)</f>
        <v>0</v>
      </c>
      <c r="I230" s="59"/>
    </row>
    <row r="231" spans="1:9" x14ac:dyDescent="0.25">
      <c r="A231" s="55">
        <v>46252</v>
      </c>
      <c r="B231" s="56" t="s">
        <v>43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12"/>
        <v>0</v>
      </c>
      <c r="H231" s="60"/>
      <c r="I231" s="59"/>
    </row>
    <row r="232" spans="1:9" x14ac:dyDescent="0.25">
      <c r="A232" s="55">
        <v>46253</v>
      </c>
      <c r="B232" s="56" t="s">
        <v>43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12"/>
        <v>0</v>
      </c>
      <c r="H232" s="60"/>
      <c r="I232" s="59"/>
    </row>
    <row r="233" spans="1:9" x14ac:dyDescent="0.25">
      <c r="A233" s="55">
        <v>46254</v>
      </c>
      <c r="B233" s="56" t="s">
        <v>43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12"/>
        <v>0</v>
      </c>
      <c r="H233" s="60"/>
      <c r="I233" s="59"/>
    </row>
    <row r="234" spans="1:9" x14ac:dyDescent="0.25">
      <c r="A234" s="55">
        <v>46255</v>
      </c>
      <c r="B234" s="56" t="s">
        <v>43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12"/>
        <v>0</v>
      </c>
      <c r="H234" s="60"/>
      <c r="I234" s="59"/>
    </row>
    <row r="235" spans="1:9" x14ac:dyDescent="0.25">
      <c r="A235" s="55">
        <v>46256</v>
      </c>
      <c r="B235" s="56" t="s">
        <v>43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12"/>
        <v>0</v>
      </c>
      <c r="H235" s="60"/>
      <c r="I235" s="59"/>
    </row>
    <row r="236" spans="1:9" x14ac:dyDescent="0.25">
      <c r="A236" s="55">
        <v>46257</v>
      </c>
      <c r="B236" s="56" t="s">
        <v>43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12"/>
        <v>0</v>
      </c>
      <c r="H236" s="61"/>
      <c r="I236" s="59"/>
    </row>
    <row r="237" spans="1:9" x14ac:dyDescent="0.25">
      <c r="A237" s="55">
        <v>46258</v>
      </c>
      <c r="B237" s="56" t="s">
        <v>43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12"/>
        <v>0</v>
      </c>
      <c r="H237" s="58">
        <f t="shared" ref="H237" si="19">SUM(G237:G243)</f>
        <v>0</v>
      </c>
      <c r="I237" s="59"/>
    </row>
    <row r="238" spans="1:9" x14ac:dyDescent="0.25">
      <c r="A238" s="55">
        <v>46259</v>
      </c>
      <c r="B238" s="56" t="s">
        <v>43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12"/>
        <v>0</v>
      </c>
      <c r="H238" s="60"/>
      <c r="I238" s="59"/>
    </row>
    <row r="239" spans="1:9" x14ac:dyDescent="0.25">
      <c r="A239" s="55">
        <v>46260</v>
      </c>
      <c r="B239" s="56" t="s">
        <v>43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12"/>
        <v>0</v>
      </c>
      <c r="H239" s="60"/>
      <c r="I239" s="59"/>
    </row>
    <row r="240" spans="1:9" x14ac:dyDescent="0.25">
      <c r="A240" s="55">
        <v>46261</v>
      </c>
      <c r="B240" s="56" t="s">
        <v>43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12"/>
        <v>0</v>
      </c>
      <c r="H240" s="60"/>
      <c r="I240" s="59"/>
    </row>
    <row r="241" spans="1:9" x14ac:dyDescent="0.25">
      <c r="A241" s="55">
        <v>46262</v>
      </c>
      <c r="B241" s="56" t="s">
        <v>43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12"/>
        <v>0</v>
      </c>
      <c r="H241" s="60"/>
      <c r="I241" s="59"/>
    </row>
    <row r="242" spans="1:9" x14ac:dyDescent="0.25">
      <c r="A242" s="55">
        <v>46263</v>
      </c>
      <c r="B242" s="56" t="s">
        <v>43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12"/>
        <v>0</v>
      </c>
      <c r="H242" s="60"/>
      <c r="I242" s="59"/>
    </row>
    <row r="243" spans="1:9" x14ac:dyDescent="0.25">
      <c r="A243" s="55">
        <v>46264</v>
      </c>
      <c r="B243" s="56" t="s">
        <v>43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12"/>
        <v>0</v>
      </c>
      <c r="H243" s="61"/>
      <c r="I243" s="59"/>
    </row>
    <row r="244" spans="1:9" x14ac:dyDescent="0.25">
      <c r="A244" s="55">
        <v>46265</v>
      </c>
      <c r="B244" s="56" t="s">
        <v>43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12"/>
        <v>0</v>
      </c>
      <c r="H244" s="58">
        <f t="shared" ref="H244" si="20">SUM(G244:G250)</f>
        <v>0</v>
      </c>
      <c r="I244" s="59"/>
    </row>
    <row r="245" spans="1:9" x14ac:dyDescent="0.25">
      <c r="A245" s="55">
        <v>46266</v>
      </c>
      <c r="B245" s="56" t="s">
        <v>43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12"/>
        <v>0</v>
      </c>
      <c r="H245" s="60"/>
      <c r="I245" s="59"/>
    </row>
    <row r="246" spans="1:9" x14ac:dyDescent="0.25">
      <c r="A246" s="55">
        <v>46267</v>
      </c>
      <c r="B246" s="56" t="s">
        <v>43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12"/>
        <v>0</v>
      </c>
      <c r="H246" s="60"/>
      <c r="I246" s="59"/>
    </row>
    <row r="247" spans="1:9" x14ac:dyDescent="0.25">
      <c r="A247" s="55">
        <v>46268</v>
      </c>
      <c r="B247" s="56" t="s">
        <v>43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12"/>
        <v>0</v>
      </c>
      <c r="H247" s="60"/>
      <c r="I247" s="59"/>
    </row>
    <row r="248" spans="1:9" x14ac:dyDescent="0.25">
      <c r="A248" s="55">
        <v>46269</v>
      </c>
      <c r="B248" s="56" t="s">
        <v>43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12"/>
        <v>0</v>
      </c>
      <c r="H248" s="60"/>
      <c r="I248" s="59"/>
    </row>
    <row r="249" spans="1:9" x14ac:dyDescent="0.25">
      <c r="A249" s="55">
        <v>46270</v>
      </c>
      <c r="B249" s="56" t="s">
        <v>43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12"/>
        <v>0</v>
      </c>
      <c r="H249" s="60"/>
      <c r="I249" s="59"/>
    </row>
    <row r="250" spans="1:9" x14ac:dyDescent="0.25">
      <c r="A250" s="55">
        <v>46271</v>
      </c>
      <c r="B250" s="56" t="s">
        <v>43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12"/>
        <v>0</v>
      </c>
      <c r="H250" s="61"/>
      <c r="I250" s="59"/>
    </row>
    <row r="251" spans="1:9" x14ac:dyDescent="0.25">
      <c r="A251" s="55">
        <v>46272</v>
      </c>
      <c r="B251" s="56" t="s">
        <v>43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12"/>
        <v>0</v>
      </c>
      <c r="H251" s="58">
        <f t="shared" ref="H251" si="21">SUM(G251:G257)</f>
        <v>0</v>
      </c>
      <c r="I251" s="59"/>
    </row>
    <row r="252" spans="1:9" x14ac:dyDescent="0.25">
      <c r="A252" s="55">
        <v>46273</v>
      </c>
      <c r="B252" s="56" t="s">
        <v>43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12"/>
        <v>0</v>
      </c>
      <c r="H252" s="60"/>
      <c r="I252" s="59"/>
    </row>
    <row r="253" spans="1:9" x14ac:dyDescent="0.25">
      <c r="A253" s="55">
        <v>46274</v>
      </c>
      <c r="B253" s="56" t="s">
        <v>43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12"/>
        <v>0</v>
      </c>
      <c r="H253" s="60"/>
      <c r="I253" s="59"/>
    </row>
    <row r="254" spans="1:9" x14ac:dyDescent="0.25">
      <c r="A254" s="55">
        <v>46275</v>
      </c>
      <c r="B254" s="56" t="s">
        <v>43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12"/>
        <v>0</v>
      </c>
      <c r="H254" s="60"/>
      <c r="I254" s="59"/>
    </row>
    <row r="255" spans="1:9" x14ac:dyDescent="0.25">
      <c r="A255" s="55">
        <v>46276</v>
      </c>
      <c r="B255" s="56" t="s">
        <v>43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12"/>
        <v>0</v>
      </c>
      <c r="H255" s="60"/>
      <c r="I255" s="59"/>
    </row>
    <row r="256" spans="1:9" x14ac:dyDescent="0.25">
      <c r="A256" s="55">
        <v>46277</v>
      </c>
      <c r="B256" s="56" t="s">
        <v>43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12"/>
        <v>0</v>
      </c>
      <c r="H256" s="60"/>
      <c r="I256" s="59"/>
    </row>
    <row r="257" spans="1:9" x14ac:dyDescent="0.25">
      <c r="A257" s="55">
        <v>46278</v>
      </c>
      <c r="B257" s="56" t="s">
        <v>43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12"/>
        <v>0</v>
      </c>
      <c r="H257" s="61"/>
      <c r="I257" s="59"/>
    </row>
    <row r="258" spans="1:9" x14ac:dyDescent="0.25">
      <c r="A258" s="55">
        <v>46279</v>
      </c>
      <c r="B258" s="56" t="s">
        <v>43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12"/>
        <v>0</v>
      </c>
      <c r="H258" s="58">
        <f t="shared" ref="H258" si="22">SUM(G258:G264)</f>
        <v>0</v>
      </c>
      <c r="I258" s="59"/>
    </row>
    <row r="259" spans="1:9" x14ac:dyDescent="0.25">
      <c r="A259" s="55">
        <v>46280</v>
      </c>
      <c r="B259" s="56" t="s">
        <v>43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23">SUM(F259,E259,C259-D259)</f>
        <v>0</v>
      </c>
      <c r="H259" s="60"/>
      <c r="I259" s="59"/>
    </row>
    <row r="260" spans="1:9" x14ac:dyDescent="0.25">
      <c r="A260" s="55">
        <v>46281</v>
      </c>
      <c r="B260" s="56" t="s">
        <v>43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23"/>
        <v>0</v>
      </c>
      <c r="H260" s="60"/>
      <c r="I260" s="59"/>
    </row>
    <row r="261" spans="1:9" x14ac:dyDescent="0.25">
      <c r="A261" s="55">
        <v>46282</v>
      </c>
      <c r="B261" s="56" t="s">
        <v>43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23"/>
        <v>0</v>
      </c>
      <c r="H261" s="60"/>
      <c r="I261" s="59"/>
    </row>
    <row r="262" spans="1:9" x14ac:dyDescent="0.25">
      <c r="A262" s="55">
        <v>46283</v>
      </c>
      <c r="B262" s="56" t="s">
        <v>43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23"/>
        <v>0</v>
      </c>
      <c r="H262" s="60"/>
      <c r="I262" s="59"/>
    </row>
    <row r="263" spans="1:9" x14ac:dyDescent="0.25">
      <c r="A263" s="55">
        <v>46284</v>
      </c>
      <c r="B263" s="56" t="s">
        <v>43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23"/>
        <v>0</v>
      </c>
      <c r="H263" s="60"/>
      <c r="I263" s="59"/>
    </row>
    <row r="264" spans="1:9" x14ac:dyDescent="0.25">
      <c r="A264" s="55">
        <v>46285</v>
      </c>
      <c r="B264" s="56" t="s">
        <v>43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23"/>
        <v>0</v>
      </c>
      <c r="H264" s="61"/>
      <c r="I264" s="59"/>
    </row>
    <row r="265" spans="1:9" x14ac:dyDescent="0.25">
      <c r="A265" s="55">
        <v>46286</v>
      </c>
      <c r="B265" s="56" t="s">
        <v>43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23"/>
        <v>0</v>
      </c>
      <c r="H265" s="58">
        <f t="shared" ref="H265" si="24">SUM(G265:G271)</f>
        <v>0</v>
      </c>
      <c r="I265" s="59"/>
    </row>
    <row r="266" spans="1:9" x14ac:dyDescent="0.25">
      <c r="A266" s="55">
        <v>46287</v>
      </c>
      <c r="B266" s="56" t="s">
        <v>43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23"/>
        <v>0</v>
      </c>
      <c r="H266" s="60"/>
      <c r="I266" s="59"/>
    </row>
    <row r="267" spans="1:9" x14ac:dyDescent="0.25">
      <c r="A267" s="55">
        <v>46288</v>
      </c>
      <c r="B267" s="56" t="s">
        <v>43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23"/>
        <v>0</v>
      </c>
      <c r="H267" s="60"/>
      <c r="I267" s="59"/>
    </row>
    <row r="268" spans="1:9" x14ac:dyDescent="0.25">
      <c r="A268" s="55">
        <v>46289</v>
      </c>
      <c r="B268" s="56" t="s">
        <v>43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23"/>
        <v>0</v>
      </c>
      <c r="H268" s="60"/>
      <c r="I268" s="59"/>
    </row>
    <row r="269" spans="1:9" x14ac:dyDescent="0.25">
      <c r="A269" s="55">
        <v>46290</v>
      </c>
      <c r="B269" s="56" t="s">
        <v>43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23"/>
        <v>0</v>
      </c>
      <c r="H269" s="60"/>
      <c r="I269" s="59"/>
    </row>
    <row r="270" spans="1:9" x14ac:dyDescent="0.25">
      <c r="A270" s="55">
        <v>46291</v>
      </c>
      <c r="B270" s="56" t="s">
        <v>43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23"/>
        <v>0</v>
      </c>
      <c r="H270" s="60"/>
      <c r="I270" s="59"/>
    </row>
    <row r="271" spans="1:9" x14ac:dyDescent="0.25">
      <c r="A271" s="55">
        <v>46292</v>
      </c>
      <c r="B271" s="56" t="s">
        <v>43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23"/>
        <v>0</v>
      </c>
      <c r="H271" s="61"/>
      <c r="I271" s="59"/>
    </row>
    <row r="272" spans="1:9" x14ac:dyDescent="0.25">
      <c r="A272" s="55">
        <v>46293</v>
      </c>
      <c r="B272" s="56" t="s">
        <v>43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23"/>
        <v>0</v>
      </c>
      <c r="H272" s="58">
        <f t="shared" ref="H272" si="25">SUM(G272:G278)</f>
        <v>0</v>
      </c>
      <c r="I272" s="59"/>
    </row>
    <row r="273" spans="1:9" x14ac:dyDescent="0.25">
      <c r="A273" s="55">
        <v>46294</v>
      </c>
      <c r="B273" s="56" t="s">
        <v>43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23"/>
        <v>0</v>
      </c>
      <c r="H273" s="60"/>
      <c r="I273" s="59"/>
    </row>
    <row r="274" spans="1:9" x14ac:dyDescent="0.25">
      <c r="A274" s="55">
        <v>46295</v>
      </c>
      <c r="B274" s="56" t="s">
        <v>43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23"/>
        <v>0</v>
      </c>
      <c r="H274" s="60"/>
      <c r="I274" s="59"/>
    </row>
    <row r="275" spans="1:9" x14ac:dyDescent="0.25">
      <c r="A275" s="55">
        <v>46296</v>
      </c>
      <c r="B275" s="56" t="s">
        <v>43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23"/>
        <v>0</v>
      </c>
      <c r="H275" s="60"/>
      <c r="I275" s="59"/>
    </row>
    <row r="276" spans="1:9" x14ac:dyDescent="0.25">
      <c r="A276" s="55">
        <v>46297</v>
      </c>
      <c r="B276" s="56" t="s">
        <v>43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23"/>
        <v>0</v>
      </c>
      <c r="H276" s="60"/>
      <c r="I276" s="59"/>
    </row>
    <row r="277" spans="1:9" x14ac:dyDescent="0.25">
      <c r="A277" s="55">
        <v>46298</v>
      </c>
      <c r="B277" s="56" t="s">
        <v>43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23"/>
        <v>0</v>
      </c>
      <c r="H277" s="60"/>
      <c r="I277" s="59"/>
    </row>
    <row r="278" spans="1:9" x14ac:dyDescent="0.25">
      <c r="A278" s="55">
        <v>46299</v>
      </c>
      <c r="B278" s="56" t="s">
        <v>43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23"/>
        <v>0</v>
      </c>
      <c r="H278" s="61"/>
      <c r="I278" s="59"/>
    </row>
    <row r="279" spans="1:9" x14ac:dyDescent="0.25">
      <c r="A279" s="55">
        <v>46300</v>
      </c>
      <c r="B279" s="56" t="s">
        <v>43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23"/>
        <v>0</v>
      </c>
      <c r="H279" s="58">
        <f t="shared" ref="H279" si="26">SUM(G279:G285)</f>
        <v>0</v>
      </c>
      <c r="I279" s="59"/>
    </row>
    <row r="280" spans="1:9" x14ac:dyDescent="0.25">
      <c r="A280" s="55">
        <v>46301</v>
      </c>
      <c r="B280" s="56" t="s">
        <v>43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23"/>
        <v>0</v>
      </c>
      <c r="H280" s="60"/>
      <c r="I280" s="59"/>
    </row>
    <row r="281" spans="1:9" x14ac:dyDescent="0.25">
      <c r="A281" s="55">
        <v>46302</v>
      </c>
      <c r="B281" s="56" t="s">
        <v>43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23"/>
        <v>0</v>
      </c>
      <c r="H281" s="60"/>
      <c r="I281" s="59"/>
    </row>
    <row r="282" spans="1:9" x14ac:dyDescent="0.25">
      <c r="A282" s="55">
        <v>46303</v>
      </c>
      <c r="B282" s="56" t="s">
        <v>43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23"/>
        <v>0</v>
      </c>
      <c r="H282" s="60"/>
      <c r="I282" s="59"/>
    </row>
    <row r="283" spans="1:9" x14ac:dyDescent="0.25">
      <c r="A283" s="55">
        <v>46304</v>
      </c>
      <c r="B283" s="56" t="s">
        <v>43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23"/>
        <v>0</v>
      </c>
      <c r="H283" s="60"/>
      <c r="I283" s="59"/>
    </row>
    <row r="284" spans="1:9" x14ac:dyDescent="0.25">
      <c r="A284" s="55">
        <v>46305</v>
      </c>
      <c r="B284" s="56" t="s">
        <v>43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23"/>
        <v>0</v>
      </c>
      <c r="H284" s="60"/>
      <c r="I284" s="59"/>
    </row>
    <row r="285" spans="1:9" x14ac:dyDescent="0.25">
      <c r="A285" s="55">
        <v>46306</v>
      </c>
      <c r="B285" s="56" t="s">
        <v>43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23"/>
        <v>0</v>
      </c>
      <c r="H285" s="61"/>
      <c r="I285" s="59"/>
    </row>
    <row r="286" spans="1:9" x14ac:dyDescent="0.25">
      <c r="A286" s="55">
        <v>46307</v>
      </c>
      <c r="B286" s="56" t="s">
        <v>43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23"/>
        <v>0</v>
      </c>
      <c r="H286" s="58">
        <f t="shared" ref="H286" si="27">SUM(G286:G292)</f>
        <v>0</v>
      </c>
      <c r="I286" s="59"/>
    </row>
    <row r="287" spans="1:9" x14ac:dyDescent="0.25">
      <c r="A287" s="55">
        <v>46308</v>
      </c>
      <c r="B287" s="56" t="s">
        <v>43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23"/>
        <v>0</v>
      </c>
      <c r="H287" s="60"/>
      <c r="I287" s="59"/>
    </row>
    <row r="288" spans="1:9" x14ac:dyDescent="0.25">
      <c r="A288" s="55">
        <v>46309</v>
      </c>
      <c r="B288" s="56" t="s">
        <v>43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23"/>
        <v>0</v>
      </c>
      <c r="H288" s="60"/>
      <c r="I288" s="59"/>
    </row>
    <row r="289" spans="1:9" x14ac:dyDescent="0.25">
      <c r="A289" s="55">
        <v>46310</v>
      </c>
      <c r="B289" s="56" t="s">
        <v>43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23"/>
        <v>0</v>
      </c>
      <c r="H289" s="60"/>
      <c r="I289" s="59"/>
    </row>
    <row r="290" spans="1:9" x14ac:dyDescent="0.25">
      <c r="A290" s="55">
        <v>46311</v>
      </c>
      <c r="B290" s="56" t="s">
        <v>43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23"/>
        <v>0</v>
      </c>
      <c r="H290" s="60"/>
      <c r="I290" s="59"/>
    </row>
    <row r="291" spans="1:9" x14ac:dyDescent="0.25">
      <c r="A291" s="55">
        <v>46312</v>
      </c>
      <c r="B291" s="56" t="s">
        <v>43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23"/>
        <v>0</v>
      </c>
      <c r="H291" s="60"/>
      <c r="I291" s="59"/>
    </row>
    <row r="292" spans="1:9" x14ac:dyDescent="0.25">
      <c r="A292" s="55">
        <v>46313</v>
      </c>
      <c r="B292" s="56" t="s">
        <v>43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23"/>
        <v>0</v>
      </c>
      <c r="H292" s="61"/>
      <c r="I292" s="59"/>
    </row>
    <row r="293" spans="1:9" x14ac:dyDescent="0.25">
      <c r="A293" s="55">
        <v>46314</v>
      </c>
      <c r="B293" s="56" t="s">
        <v>43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23"/>
        <v>0</v>
      </c>
      <c r="H293" s="58">
        <f t="shared" ref="H293" si="28">SUM(G293:G299)</f>
        <v>0</v>
      </c>
      <c r="I293" s="59"/>
    </row>
    <row r="294" spans="1:9" x14ac:dyDescent="0.25">
      <c r="A294" s="55">
        <v>46315</v>
      </c>
      <c r="B294" s="56" t="s">
        <v>43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23"/>
        <v>0</v>
      </c>
      <c r="H294" s="60"/>
      <c r="I294" s="59"/>
    </row>
    <row r="295" spans="1:9" x14ac:dyDescent="0.25">
      <c r="A295" s="55">
        <v>46316</v>
      </c>
      <c r="B295" s="56" t="s">
        <v>43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23"/>
        <v>0</v>
      </c>
      <c r="H295" s="60"/>
      <c r="I295" s="59"/>
    </row>
    <row r="296" spans="1:9" x14ac:dyDescent="0.25">
      <c r="A296" s="55">
        <v>46317</v>
      </c>
      <c r="B296" s="56" t="s">
        <v>43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23"/>
        <v>0</v>
      </c>
      <c r="H296" s="60"/>
      <c r="I296" s="59"/>
    </row>
    <row r="297" spans="1:9" x14ac:dyDescent="0.25">
      <c r="A297" s="55">
        <v>46318</v>
      </c>
      <c r="B297" s="56" t="s">
        <v>43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23"/>
        <v>0</v>
      </c>
      <c r="H297" s="60"/>
      <c r="I297" s="59"/>
    </row>
    <row r="298" spans="1:9" x14ac:dyDescent="0.25">
      <c r="A298" s="55">
        <v>46319</v>
      </c>
      <c r="B298" s="56" t="s">
        <v>43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23"/>
        <v>0</v>
      </c>
      <c r="H298" s="60"/>
      <c r="I298" s="59"/>
    </row>
    <row r="299" spans="1:9" x14ac:dyDescent="0.25">
      <c r="A299" s="55">
        <v>46320</v>
      </c>
      <c r="B299" s="56" t="s">
        <v>43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23"/>
        <v>0</v>
      </c>
      <c r="H299" s="61"/>
      <c r="I299" s="59"/>
    </row>
    <row r="300" spans="1:9" x14ac:dyDescent="0.25">
      <c r="A300" s="55">
        <v>46321</v>
      </c>
      <c r="B300" s="56" t="s">
        <v>43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23"/>
        <v>0</v>
      </c>
      <c r="H300" s="58">
        <f t="shared" ref="H300" si="29">SUM(G300:G306)</f>
        <v>0</v>
      </c>
      <c r="I300" s="59"/>
    </row>
    <row r="301" spans="1:9" x14ac:dyDescent="0.25">
      <c r="A301" s="55">
        <v>46322</v>
      </c>
      <c r="B301" s="56" t="s">
        <v>43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23"/>
        <v>0</v>
      </c>
      <c r="H301" s="60"/>
      <c r="I301" s="59"/>
    </row>
    <row r="302" spans="1:9" x14ac:dyDescent="0.25">
      <c r="A302" s="55">
        <v>46323</v>
      </c>
      <c r="B302" s="56" t="s">
        <v>43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23"/>
        <v>0</v>
      </c>
      <c r="H302" s="60"/>
      <c r="I302" s="59"/>
    </row>
    <row r="303" spans="1:9" x14ac:dyDescent="0.25">
      <c r="A303" s="55">
        <v>46324</v>
      </c>
      <c r="B303" s="56" t="s">
        <v>43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23"/>
        <v>0</v>
      </c>
      <c r="H303" s="60"/>
      <c r="I303" s="59"/>
    </row>
    <row r="304" spans="1:9" x14ac:dyDescent="0.25">
      <c r="A304" s="55">
        <v>46325</v>
      </c>
      <c r="B304" s="56" t="s">
        <v>43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23"/>
        <v>0</v>
      </c>
      <c r="H304" s="60"/>
      <c r="I304" s="59"/>
    </row>
    <row r="305" spans="1:9" x14ac:dyDescent="0.25">
      <c r="A305" s="55">
        <v>46326</v>
      </c>
      <c r="B305" s="56" t="s">
        <v>43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23"/>
        <v>0</v>
      </c>
      <c r="H305" s="60"/>
      <c r="I305" s="59"/>
    </row>
    <row r="306" spans="1:9" x14ac:dyDescent="0.25">
      <c r="A306" s="55">
        <v>46327</v>
      </c>
      <c r="B306" s="56" t="s">
        <v>43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23"/>
        <v>0</v>
      </c>
      <c r="H306" s="61"/>
      <c r="I306" s="59"/>
    </row>
    <row r="307" spans="1:9" x14ac:dyDescent="0.25">
      <c r="A307" s="55">
        <v>46328</v>
      </c>
      <c r="B307" s="56" t="s">
        <v>43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23"/>
        <v>0</v>
      </c>
      <c r="H307" s="58">
        <f t="shared" ref="H307" si="30">SUM(G307:G313)</f>
        <v>0</v>
      </c>
      <c r="I307" s="59"/>
    </row>
    <row r="308" spans="1:9" x14ac:dyDescent="0.25">
      <c r="A308" s="55">
        <v>46329</v>
      </c>
      <c r="B308" s="56" t="s">
        <v>43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23"/>
        <v>0</v>
      </c>
      <c r="H308" s="60"/>
      <c r="I308" s="59"/>
    </row>
    <row r="309" spans="1:9" x14ac:dyDescent="0.25">
      <c r="A309" s="55">
        <v>46330</v>
      </c>
      <c r="B309" s="56" t="s">
        <v>43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23"/>
        <v>0</v>
      </c>
      <c r="H309" s="60"/>
      <c r="I309" s="59"/>
    </row>
    <row r="310" spans="1:9" x14ac:dyDescent="0.25">
      <c r="A310" s="55">
        <v>46331</v>
      </c>
      <c r="B310" s="56" t="s">
        <v>43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23"/>
        <v>0</v>
      </c>
      <c r="H310" s="60"/>
      <c r="I310" s="59"/>
    </row>
    <row r="311" spans="1:9" x14ac:dyDescent="0.25">
      <c r="A311" s="55">
        <v>46332</v>
      </c>
      <c r="B311" s="56" t="s">
        <v>43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23"/>
        <v>0</v>
      </c>
      <c r="H311" s="60"/>
      <c r="I311" s="59"/>
    </row>
    <row r="312" spans="1:9" x14ac:dyDescent="0.25">
      <c r="A312" s="55">
        <v>46333</v>
      </c>
      <c r="B312" s="56" t="s">
        <v>43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23"/>
        <v>0</v>
      </c>
      <c r="H312" s="60"/>
      <c r="I312" s="59"/>
    </row>
    <row r="313" spans="1:9" x14ac:dyDescent="0.25">
      <c r="A313" s="55">
        <v>46334</v>
      </c>
      <c r="B313" s="56" t="s">
        <v>43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23"/>
        <v>0</v>
      </c>
      <c r="H313" s="61"/>
      <c r="I313" s="59"/>
    </row>
    <row r="314" spans="1:9" x14ac:dyDescent="0.25">
      <c r="A314" s="55">
        <v>46335</v>
      </c>
      <c r="B314" s="56" t="s">
        <v>43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23"/>
        <v>0</v>
      </c>
      <c r="H314" s="58">
        <f t="shared" ref="H314" si="31">SUM(G314:G320)</f>
        <v>0</v>
      </c>
      <c r="I314" s="59"/>
    </row>
    <row r="315" spans="1:9" x14ac:dyDescent="0.25">
      <c r="A315" s="55">
        <v>46336</v>
      </c>
      <c r="B315" s="56" t="s">
        <v>43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23"/>
        <v>0</v>
      </c>
      <c r="H315" s="60"/>
      <c r="I315" s="59"/>
    </row>
    <row r="316" spans="1:9" x14ac:dyDescent="0.25">
      <c r="A316" s="55">
        <v>46337</v>
      </c>
      <c r="B316" s="56" t="s">
        <v>43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23"/>
        <v>0</v>
      </c>
      <c r="H316" s="60"/>
      <c r="I316" s="59"/>
    </row>
    <row r="317" spans="1:9" x14ac:dyDescent="0.25">
      <c r="A317" s="55">
        <v>46338</v>
      </c>
      <c r="B317" s="56" t="s">
        <v>43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23"/>
        <v>0</v>
      </c>
      <c r="H317" s="60"/>
      <c r="I317" s="59"/>
    </row>
    <row r="318" spans="1:9" x14ac:dyDescent="0.25">
      <c r="A318" s="55">
        <v>46339</v>
      </c>
      <c r="B318" s="56" t="s">
        <v>43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23"/>
        <v>0</v>
      </c>
      <c r="H318" s="60"/>
      <c r="I318" s="59"/>
    </row>
    <row r="319" spans="1:9" x14ac:dyDescent="0.25">
      <c r="A319" s="55">
        <v>46340</v>
      </c>
      <c r="B319" s="56" t="s">
        <v>43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23"/>
        <v>0</v>
      </c>
      <c r="H319" s="60"/>
      <c r="I319" s="59"/>
    </row>
    <row r="320" spans="1:9" x14ac:dyDescent="0.25">
      <c r="A320" s="55">
        <v>46341</v>
      </c>
      <c r="B320" s="56" t="s">
        <v>43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23"/>
        <v>0</v>
      </c>
      <c r="H320" s="61"/>
      <c r="I320" s="59"/>
    </row>
    <row r="321" spans="1:9" x14ac:dyDescent="0.25">
      <c r="A321" s="55">
        <v>46342</v>
      </c>
      <c r="B321" s="56" t="s">
        <v>43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23"/>
        <v>0</v>
      </c>
      <c r="H321" s="58">
        <f t="shared" ref="H321" si="32">SUM(G321:G327)</f>
        <v>0</v>
      </c>
      <c r="I321" s="59"/>
    </row>
    <row r="322" spans="1:9" x14ac:dyDescent="0.25">
      <c r="A322" s="55">
        <v>46343</v>
      </c>
      <c r="B322" s="56" t="s">
        <v>43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23"/>
        <v>0</v>
      </c>
      <c r="H322" s="60"/>
      <c r="I322" s="59"/>
    </row>
    <row r="323" spans="1:9" x14ac:dyDescent="0.25">
      <c r="A323" s="55">
        <v>46344</v>
      </c>
      <c r="B323" s="56" t="s">
        <v>43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33">SUM(F323,E323,C323-D323)</f>
        <v>0</v>
      </c>
      <c r="H323" s="60"/>
      <c r="I323" s="59"/>
    </row>
    <row r="324" spans="1:9" x14ac:dyDescent="0.25">
      <c r="A324" s="55">
        <v>46345</v>
      </c>
      <c r="B324" s="56" t="s">
        <v>43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33"/>
        <v>0</v>
      </c>
      <c r="H324" s="60"/>
      <c r="I324" s="59"/>
    </row>
    <row r="325" spans="1:9" x14ac:dyDescent="0.25">
      <c r="A325" s="55">
        <v>46346</v>
      </c>
      <c r="B325" s="56" t="s">
        <v>43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33"/>
        <v>0</v>
      </c>
      <c r="H325" s="60"/>
      <c r="I325" s="59"/>
    </row>
    <row r="326" spans="1:9" x14ac:dyDescent="0.25">
      <c r="A326" s="55">
        <v>46347</v>
      </c>
      <c r="B326" s="56" t="s">
        <v>43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33"/>
        <v>0</v>
      </c>
      <c r="H326" s="60"/>
      <c r="I326" s="59"/>
    </row>
    <row r="327" spans="1:9" x14ac:dyDescent="0.25">
      <c r="A327" s="55">
        <v>46348</v>
      </c>
      <c r="B327" s="56" t="s">
        <v>43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33"/>
        <v>0</v>
      </c>
      <c r="H327" s="61"/>
      <c r="I327" s="59"/>
    </row>
    <row r="328" spans="1:9" x14ac:dyDescent="0.25">
      <c r="A328" s="55">
        <v>46349</v>
      </c>
      <c r="B328" s="56" t="s">
        <v>43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33"/>
        <v>0</v>
      </c>
      <c r="H328" s="58">
        <f t="shared" ref="H328" si="34">SUM(G328:G334)</f>
        <v>0</v>
      </c>
      <c r="I328" s="59"/>
    </row>
    <row r="329" spans="1:9" x14ac:dyDescent="0.25">
      <c r="A329" s="55">
        <v>46350</v>
      </c>
      <c r="B329" s="56" t="s">
        <v>43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33"/>
        <v>0</v>
      </c>
      <c r="H329" s="60"/>
      <c r="I329" s="59"/>
    </row>
    <row r="330" spans="1:9" x14ac:dyDescent="0.25">
      <c r="A330" s="55">
        <v>46351</v>
      </c>
      <c r="B330" s="56" t="s">
        <v>43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33"/>
        <v>0</v>
      </c>
      <c r="H330" s="60"/>
      <c r="I330" s="59"/>
    </row>
    <row r="331" spans="1:9" x14ac:dyDescent="0.25">
      <c r="A331" s="55">
        <v>46352</v>
      </c>
      <c r="B331" s="56" t="s">
        <v>43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33"/>
        <v>0</v>
      </c>
      <c r="H331" s="60"/>
      <c r="I331" s="59"/>
    </row>
    <row r="332" spans="1:9" x14ac:dyDescent="0.25">
      <c r="A332" s="55">
        <v>46353</v>
      </c>
      <c r="B332" s="56" t="s">
        <v>43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33"/>
        <v>0</v>
      </c>
      <c r="H332" s="60"/>
      <c r="I332" s="59"/>
    </row>
    <row r="333" spans="1:9" x14ac:dyDescent="0.25">
      <c r="A333" s="55">
        <v>46354</v>
      </c>
      <c r="B333" s="56" t="s">
        <v>43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33"/>
        <v>0</v>
      </c>
      <c r="H333" s="60"/>
      <c r="I333" s="59"/>
    </row>
    <row r="334" spans="1:9" x14ac:dyDescent="0.25">
      <c r="A334" s="55">
        <v>46355</v>
      </c>
      <c r="B334" s="56" t="s">
        <v>43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33"/>
        <v>0</v>
      </c>
      <c r="H334" s="61"/>
      <c r="I334" s="59"/>
    </row>
    <row r="335" spans="1:9" x14ac:dyDescent="0.25">
      <c r="A335" s="55">
        <v>46356</v>
      </c>
      <c r="B335" s="56" t="s">
        <v>43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33"/>
        <v>0</v>
      </c>
      <c r="H335" s="58">
        <f t="shared" ref="H335" si="35">SUM(G335:G341)</f>
        <v>0</v>
      </c>
      <c r="I335" s="59"/>
    </row>
    <row r="336" spans="1:9" x14ac:dyDescent="0.25">
      <c r="A336" s="55">
        <v>46357</v>
      </c>
      <c r="B336" s="56" t="s">
        <v>43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33"/>
        <v>0</v>
      </c>
      <c r="H336" s="60"/>
      <c r="I336" s="59"/>
    </row>
    <row r="337" spans="1:9" x14ac:dyDescent="0.25">
      <c r="A337" s="55">
        <v>46358</v>
      </c>
      <c r="B337" s="56" t="s">
        <v>43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33"/>
        <v>0</v>
      </c>
      <c r="H337" s="60"/>
      <c r="I337" s="59"/>
    </row>
    <row r="338" spans="1:9" x14ac:dyDescent="0.25">
      <c r="A338" s="55">
        <v>46359</v>
      </c>
      <c r="B338" s="56" t="s">
        <v>43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33"/>
        <v>0</v>
      </c>
      <c r="H338" s="60"/>
      <c r="I338" s="59"/>
    </row>
    <row r="339" spans="1:9" x14ac:dyDescent="0.25">
      <c r="A339" s="55">
        <v>46360</v>
      </c>
      <c r="B339" s="56" t="s">
        <v>43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33"/>
        <v>0</v>
      </c>
      <c r="H339" s="60"/>
      <c r="I339" s="59"/>
    </row>
    <row r="340" spans="1:9" x14ac:dyDescent="0.25">
      <c r="A340" s="55">
        <v>46361</v>
      </c>
      <c r="B340" s="56" t="s">
        <v>43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33"/>
        <v>0</v>
      </c>
      <c r="H340" s="60"/>
      <c r="I340" s="59"/>
    </row>
    <row r="341" spans="1:9" x14ac:dyDescent="0.25">
      <c r="A341" s="55">
        <v>46362</v>
      </c>
      <c r="B341" s="56" t="s">
        <v>43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33"/>
        <v>0</v>
      </c>
      <c r="H341" s="61"/>
      <c r="I341" s="59"/>
    </row>
    <row r="342" spans="1:9" x14ac:dyDescent="0.25">
      <c r="A342" s="55">
        <v>46363</v>
      </c>
      <c r="B342" s="56" t="s">
        <v>43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33"/>
        <v>0</v>
      </c>
      <c r="H342" s="58">
        <f t="shared" ref="H342" si="36">SUM(G342:G348)</f>
        <v>0</v>
      </c>
      <c r="I342" s="59"/>
    </row>
    <row r="343" spans="1:9" x14ac:dyDescent="0.25">
      <c r="A343" s="55">
        <v>46364</v>
      </c>
      <c r="B343" s="56" t="s">
        <v>43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33"/>
        <v>0</v>
      </c>
      <c r="H343" s="60"/>
      <c r="I343" s="59"/>
    </row>
    <row r="344" spans="1:9" x14ac:dyDescent="0.25">
      <c r="A344" s="55">
        <v>46365</v>
      </c>
      <c r="B344" s="56" t="s">
        <v>43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33"/>
        <v>0</v>
      </c>
      <c r="H344" s="60"/>
      <c r="I344" s="59"/>
    </row>
    <row r="345" spans="1:9" x14ac:dyDescent="0.25">
      <c r="A345" s="55">
        <v>46366</v>
      </c>
      <c r="B345" s="56" t="s">
        <v>43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33"/>
        <v>0</v>
      </c>
      <c r="H345" s="60"/>
      <c r="I345" s="59"/>
    </row>
    <row r="346" spans="1:9" x14ac:dyDescent="0.25">
      <c r="A346" s="55">
        <v>46367</v>
      </c>
      <c r="B346" s="56" t="s">
        <v>43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33"/>
        <v>0</v>
      </c>
      <c r="H346" s="60"/>
      <c r="I346" s="59"/>
    </row>
    <row r="347" spans="1:9" x14ac:dyDescent="0.25">
      <c r="A347" s="55">
        <v>46368</v>
      </c>
      <c r="B347" s="56" t="s">
        <v>43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33"/>
        <v>0</v>
      </c>
      <c r="H347" s="60"/>
      <c r="I347" s="59"/>
    </row>
    <row r="348" spans="1:9" x14ac:dyDescent="0.25">
      <c r="A348" s="55">
        <v>46369</v>
      </c>
      <c r="B348" s="56" t="s">
        <v>43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33"/>
        <v>0</v>
      </c>
      <c r="H348" s="61"/>
      <c r="I348" s="59"/>
    </row>
    <row r="349" spans="1:9" x14ac:dyDescent="0.25">
      <c r="A349" s="55">
        <v>46370</v>
      </c>
      <c r="B349" s="56" t="s">
        <v>43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33"/>
        <v>0</v>
      </c>
      <c r="H349" s="58">
        <f t="shared" ref="H349" si="37">SUM(G349:G355)</f>
        <v>0</v>
      </c>
      <c r="I349" s="59"/>
    </row>
    <row r="350" spans="1:9" x14ac:dyDescent="0.25">
      <c r="A350" s="55">
        <v>46371</v>
      </c>
      <c r="B350" s="56" t="s">
        <v>43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33"/>
        <v>0</v>
      </c>
      <c r="H350" s="60"/>
      <c r="I350" s="59"/>
    </row>
    <row r="351" spans="1:9" x14ac:dyDescent="0.25">
      <c r="A351" s="55">
        <v>46372</v>
      </c>
      <c r="B351" s="56" t="s">
        <v>43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33"/>
        <v>0</v>
      </c>
      <c r="H351" s="60"/>
      <c r="I351" s="59"/>
    </row>
    <row r="352" spans="1:9" x14ac:dyDescent="0.25">
      <c r="A352" s="55">
        <v>46373</v>
      </c>
      <c r="B352" s="56" t="s">
        <v>43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33"/>
        <v>0</v>
      </c>
      <c r="H352" s="60"/>
      <c r="I352" s="59"/>
    </row>
    <row r="353" spans="1:9" x14ac:dyDescent="0.25">
      <c r="A353" s="55">
        <v>46374</v>
      </c>
      <c r="B353" s="56" t="s">
        <v>43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33"/>
        <v>0</v>
      </c>
      <c r="H353" s="60"/>
      <c r="I353" s="59"/>
    </row>
    <row r="354" spans="1:9" x14ac:dyDescent="0.25">
      <c r="A354" s="55">
        <v>46375</v>
      </c>
      <c r="B354" s="56" t="s">
        <v>43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33"/>
        <v>0</v>
      </c>
      <c r="H354" s="60"/>
      <c r="I354" s="59"/>
    </row>
    <row r="355" spans="1:9" x14ac:dyDescent="0.25">
      <c r="A355" s="55">
        <v>46376</v>
      </c>
      <c r="B355" s="56" t="s">
        <v>43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33"/>
        <v>0</v>
      </c>
      <c r="H355" s="61"/>
      <c r="I355" s="59"/>
    </row>
    <row r="356" spans="1:9" x14ac:dyDescent="0.25">
      <c r="A356" s="55">
        <v>46377</v>
      </c>
      <c r="B356" s="56" t="s">
        <v>43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33"/>
        <v>0</v>
      </c>
      <c r="H356" s="58">
        <f t="shared" ref="H356" si="38">SUM(G356:G362)</f>
        <v>0</v>
      </c>
      <c r="I356" s="59"/>
    </row>
    <row r="357" spans="1:9" x14ac:dyDescent="0.25">
      <c r="A357" s="55">
        <v>46378</v>
      </c>
      <c r="B357" s="56" t="s">
        <v>43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33"/>
        <v>0</v>
      </c>
      <c r="H357" s="60"/>
      <c r="I357" s="59"/>
    </row>
    <row r="358" spans="1:9" x14ac:dyDescent="0.25">
      <c r="A358" s="55">
        <v>46379</v>
      </c>
      <c r="B358" s="56" t="s">
        <v>43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33"/>
        <v>0</v>
      </c>
      <c r="H358" s="60"/>
      <c r="I358" s="59"/>
    </row>
    <row r="359" spans="1:9" x14ac:dyDescent="0.25">
      <c r="A359" s="55">
        <v>46380</v>
      </c>
      <c r="B359" s="56" t="s">
        <v>43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33"/>
        <v>0</v>
      </c>
      <c r="H359" s="60"/>
      <c r="I359" s="59"/>
    </row>
    <row r="360" spans="1:9" x14ac:dyDescent="0.25">
      <c r="A360" s="55">
        <v>46381</v>
      </c>
      <c r="B360" s="56" t="s">
        <v>43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33"/>
        <v>0</v>
      </c>
      <c r="H360" s="60"/>
      <c r="I360" s="59"/>
    </row>
    <row r="361" spans="1:9" x14ac:dyDescent="0.25">
      <c r="A361" s="55">
        <v>46382</v>
      </c>
      <c r="B361" s="56" t="s">
        <v>43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33"/>
        <v>0</v>
      </c>
      <c r="H361" s="60"/>
      <c r="I361" s="59"/>
    </row>
    <row r="362" spans="1:9" x14ac:dyDescent="0.25">
      <c r="A362" s="55">
        <v>46383</v>
      </c>
      <c r="B362" s="56" t="s">
        <v>43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33"/>
        <v>0</v>
      </c>
      <c r="H362" s="61"/>
      <c r="I362" s="59"/>
    </row>
    <row r="363" spans="1:9" x14ac:dyDescent="0.25">
      <c r="A363" s="55">
        <v>46384</v>
      </c>
      <c r="B363" s="56" t="s">
        <v>43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33"/>
        <v>0</v>
      </c>
      <c r="H363" s="63"/>
      <c r="I363" s="59"/>
    </row>
    <row r="364" spans="1:9" x14ac:dyDescent="0.25">
      <c r="A364" s="55">
        <v>46385</v>
      </c>
      <c r="B364" s="56" t="s">
        <v>43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33"/>
        <v>0</v>
      </c>
      <c r="H364" s="63"/>
      <c r="I364" s="59"/>
    </row>
    <row r="365" spans="1:9" x14ac:dyDescent="0.25">
      <c r="A365" s="55">
        <v>46386</v>
      </c>
      <c r="B365" s="56" t="s">
        <v>43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33"/>
        <v>0</v>
      </c>
      <c r="H365" s="63"/>
      <c r="I365" s="59"/>
    </row>
    <row r="366" spans="1:9" x14ac:dyDescent="0.25">
      <c r="A366" s="55">
        <v>46387</v>
      </c>
      <c r="B366" s="56" t="s">
        <v>43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33"/>
        <v>0</v>
      </c>
      <c r="H366" s="63"/>
      <c r="I366" s="59"/>
    </row>
    <row r="367" spans="1:9" x14ac:dyDescent="0.25">
      <c r="A367" s="55">
        <v>46388</v>
      </c>
      <c r="B367" s="56" t="s">
        <v>43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33"/>
        <v>0</v>
      </c>
      <c r="H367" s="63"/>
      <c r="I367" s="59"/>
    </row>
  </sheetData>
  <mergeCells count="53">
    <mergeCell ref="H2:H5"/>
    <mergeCell ref="H6:H12"/>
    <mergeCell ref="K8:O16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"/>
  <sheetViews>
    <sheetView workbookViewId="0" zoomScale="100" zoomScaleNormal="100">
      <selection activeCell="C123" sqref="C123"/>
    </sheetView>
  </sheetViews>
  <sheetFormatPr defaultRowHeight="15" outlineLevelRow="0" outlineLevelCol="0" x14ac:dyDescent="0"/>
  <cols>
    <col min="1" max="1" width="10.42578125" style="64" customWidth="1"/>
    <col min="2" max="2" width="18.28515625" style="64" customWidth="1"/>
    <col min="3" max="4" width="9.140625" style="64" customWidth="1"/>
    <col min="5" max="5" width="24.7109375" style="64" customWidth="1"/>
    <col min="6" max="6" width="5" style="64" customWidth="1"/>
    <col min="7" max="7" width="11.85546875" style="64" customWidth="1"/>
    <col min="8" max="8" width="11.42578125" style="64" customWidth="1"/>
    <col min="9" max="9" width="12.140625" style="64" customWidth="1"/>
    <col min="10" max="16384" width="9.140625" style="64" customWidth="1"/>
  </cols>
  <sheetData>
    <row r="1" spans="1:9" x14ac:dyDescent="0.25">
      <c r="A1" s="53" t="s">
        <v>96</v>
      </c>
      <c r="B1" s="53" t="s">
        <v>0</v>
      </c>
      <c r="C1" s="53" t="s">
        <v>97</v>
      </c>
      <c r="D1" s="53" t="s">
        <v>98</v>
      </c>
      <c r="E1" s="53" t="s">
        <v>99</v>
      </c>
      <c r="F1" s="53" t="s">
        <v>100</v>
      </c>
      <c r="G1" s="54" t="s">
        <v>101</v>
      </c>
      <c r="H1" s="65" t="s">
        <v>102</v>
      </c>
      <c r="I1" s="65" t="s">
        <v>103</v>
      </c>
    </row>
    <row r="2" spans="1:9" x14ac:dyDescent="0.25">
      <c r="A2" s="55">
        <v>46023</v>
      </c>
      <c r="B2" s="56" t="s">
        <v>44</v>
      </c>
      <c r="C2" s="56">
        <v>40</v>
      </c>
      <c r="D2" s="56">
        <v>2</v>
      </c>
      <c r="E2" s="56">
        <v>0</v>
      </c>
      <c r="F2" s="56">
        <v>0</v>
      </c>
      <c r="G2" s="57">
        <f>SUM(C2,E2,F2-D2)</f>
        <v>38</v>
      </c>
      <c r="H2" s="58">
        <f>SUM(G2:G5)</f>
        <v>155</v>
      </c>
      <c r="I2" s="59"/>
    </row>
    <row r="3" spans="1:9" x14ac:dyDescent="0.25">
      <c r="A3" s="55">
        <v>46024</v>
      </c>
      <c r="B3" s="56" t="s">
        <v>44</v>
      </c>
      <c r="C3" s="56">
        <v>78</v>
      </c>
      <c r="D3" s="56">
        <v>4</v>
      </c>
      <c r="E3" s="56">
        <v>0</v>
      </c>
      <c r="F3" s="56">
        <v>0</v>
      </c>
      <c r="G3" s="57">
        <f t="shared" ref="G3:G61" si="0">SUM(C3,E3,F3-D3)</f>
        <v>74</v>
      </c>
      <c r="H3" s="60"/>
      <c r="I3" s="59"/>
    </row>
    <row r="4" spans="1:9" x14ac:dyDescent="0.25">
      <c r="A4" s="55">
        <v>46025</v>
      </c>
      <c r="B4" s="56" t="s">
        <v>44</v>
      </c>
      <c r="C4" s="56">
        <v>29</v>
      </c>
      <c r="D4" s="56">
        <v>2</v>
      </c>
      <c r="E4" s="56">
        <v>0</v>
      </c>
      <c r="F4" s="56">
        <v>0</v>
      </c>
      <c r="G4" s="57">
        <f t="shared" si="0"/>
        <v>27</v>
      </c>
      <c r="H4" s="60"/>
      <c r="I4" s="59"/>
    </row>
    <row r="5" spans="1:9" x14ac:dyDescent="0.25">
      <c r="A5" s="55">
        <v>46026</v>
      </c>
      <c r="B5" s="56" t="s">
        <v>44</v>
      </c>
      <c r="C5" s="56">
        <v>16</v>
      </c>
      <c r="D5" s="56">
        <v>0</v>
      </c>
      <c r="E5" s="56">
        <v>0</v>
      </c>
      <c r="F5" s="56">
        <v>0</v>
      </c>
      <c r="G5" s="57">
        <f t="shared" si="0"/>
        <v>16</v>
      </c>
      <c r="H5" s="61"/>
      <c r="I5" s="59"/>
    </row>
    <row r="6" spans="1:9" x14ac:dyDescent="0.25">
      <c r="A6" s="55">
        <v>46027</v>
      </c>
      <c r="B6" s="56" t="s">
        <v>44</v>
      </c>
      <c r="C6" s="56">
        <v>10</v>
      </c>
      <c r="D6" s="56">
        <v>1</v>
      </c>
      <c r="E6" s="56">
        <v>0</v>
      </c>
      <c r="F6" s="56">
        <v>0</v>
      </c>
      <c r="G6" s="57">
        <f t="shared" si="0"/>
        <v>9</v>
      </c>
      <c r="H6" s="58">
        <f>SUM(G6:G12)</f>
        <v>36</v>
      </c>
      <c r="I6" s="59"/>
    </row>
    <row r="7" spans="1:9" x14ac:dyDescent="0.25">
      <c r="A7" s="55">
        <v>46028</v>
      </c>
      <c r="B7" s="56" t="s">
        <v>44</v>
      </c>
      <c r="C7" s="56">
        <v>8</v>
      </c>
      <c r="D7" s="56">
        <v>3</v>
      </c>
      <c r="E7" s="56">
        <v>0</v>
      </c>
      <c r="F7" s="56">
        <v>0</v>
      </c>
      <c r="G7" s="57">
        <f t="shared" si="0"/>
        <v>5</v>
      </c>
      <c r="H7" s="60"/>
      <c r="I7" s="59"/>
    </row>
    <row r="8" spans="1:9" x14ac:dyDescent="0.25">
      <c r="A8" s="55">
        <v>46029</v>
      </c>
      <c r="B8" s="56" t="s">
        <v>44</v>
      </c>
      <c r="C8" s="56">
        <v>7</v>
      </c>
      <c r="D8" s="56">
        <v>0</v>
      </c>
      <c r="E8" s="56">
        <v>0</v>
      </c>
      <c r="F8" s="56">
        <v>0</v>
      </c>
      <c r="G8" s="57">
        <f t="shared" si="0"/>
        <v>7</v>
      </c>
      <c r="H8" s="60"/>
      <c r="I8" s="59"/>
    </row>
    <row r="9" spans="1:9" x14ac:dyDescent="0.25">
      <c r="A9" s="55">
        <v>46030</v>
      </c>
      <c r="B9" s="56" t="s">
        <v>44</v>
      </c>
      <c r="C9" s="56">
        <v>4</v>
      </c>
      <c r="D9" s="56">
        <v>0</v>
      </c>
      <c r="E9" s="56">
        <v>0</v>
      </c>
      <c r="F9" s="56">
        <v>0</v>
      </c>
      <c r="G9" s="57">
        <f t="shared" si="0"/>
        <v>4</v>
      </c>
      <c r="H9" s="60"/>
      <c r="I9" s="59"/>
    </row>
    <row r="10" spans="1:15" x14ac:dyDescent="0.25">
      <c r="A10" s="55">
        <v>46031</v>
      </c>
      <c r="B10" s="56" t="s">
        <v>44</v>
      </c>
      <c r="C10" s="56">
        <v>4</v>
      </c>
      <c r="D10" s="56">
        <v>0</v>
      </c>
      <c r="E10" s="56">
        <v>0</v>
      </c>
      <c r="F10" s="56">
        <v>0</v>
      </c>
      <c r="G10" s="57">
        <f t="shared" si="0"/>
        <v>4</v>
      </c>
      <c r="H10" s="60"/>
      <c r="I10" s="59"/>
      <c r="K10" s="15" t="s">
        <v>104</v>
      </c>
      <c r="L10" s="16"/>
      <c r="M10" s="16"/>
      <c r="N10" s="16"/>
      <c r="O10" s="16"/>
    </row>
    <row r="11" spans="1:15" x14ac:dyDescent="0.25">
      <c r="A11" s="55">
        <v>46032</v>
      </c>
      <c r="B11" s="56" t="s">
        <v>44</v>
      </c>
      <c r="C11" s="56">
        <v>5</v>
      </c>
      <c r="D11" s="56">
        <v>0</v>
      </c>
      <c r="E11" s="56">
        <v>0</v>
      </c>
      <c r="F11" s="56">
        <v>0</v>
      </c>
      <c r="G11" s="57">
        <f t="shared" si="0"/>
        <v>5</v>
      </c>
      <c r="H11" s="60"/>
      <c r="I11" s="59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44</v>
      </c>
      <c r="C12" s="56">
        <v>2</v>
      </c>
      <c r="D12" s="56">
        <v>0</v>
      </c>
      <c r="E12" s="56">
        <v>0</v>
      </c>
      <c r="F12" s="56">
        <v>0</v>
      </c>
      <c r="G12" s="57">
        <f t="shared" si="0"/>
        <v>2</v>
      </c>
      <c r="H12" s="61"/>
      <c r="I12" s="59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44</v>
      </c>
      <c r="C13" s="56">
        <v>5</v>
      </c>
      <c r="D13" s="56">
        <v>1</v>
      </c>
      <c r="E13" s="56">
        <v>0</v>
      </c>
      <c r="F13" s="56">
        <v>0</v>
      </c>
      <c r="G13" s="57">
        <f t="shared" si="0"/>
        <v>4</v>
      </c>
      <c r="H13" s="58">
        <f>SUM(G13:G19)</f>
        <v>16</v>
      </c>
      <c r="I13" s="59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44</v>
      </c>
      <c r="C14" s="56">
        <v>4</v>
      </c>
      <c r="D14" s="56">
        <v>1</v>
      </c>
      <c r="E14" s="56">
        <v>0</v>
      </c>
      <c r="F14" s="56">
        <v>0</v>
      </c>
      <c r="G14" s="57">
        <f t="shared" si="0"/>
        <v>3</v>
      </c>
      <c r="H14" s="60"/>
      <c r="I14" s="59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44</v>
      </c>
      <c r="C15" s="56">
        <v>1</v>
      </c>
      <c r="D15" s="56">
        <v>0</v>
      </c>
      <c r="E15" s="56">
        <v>0</v>
      </c>
      <c r="F15" s="56">
        <v>0</v>
      </c>
      <c r="G15" s="57">
        <f t="shared" si="0"/>
        <v>1</v>
      </c>
      <c r="H15" s="60"/>
      <c r="I15" s="59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44</v>
      </c>
      <c r="C16" s="56">
        <v>3</v>
      </c>
      <c r="D16" s="56">
        <v>1</v>
      </c>
      <c r="E16" s="56">
        <v>0</v>
      </c>
      <c r="F16" s="56">
        <v>0</v>
      </c>
      <c r="G16" s="57">
        <f t="shared" si="0"/>
        <v>2</v>
      </c>
      <c r="H16" s="60"/>
      <c r="I16" s="59"/>
      <c r="K16" s="16"/>
      <c r="L16" s="16"/>
      <c r="M16" s="16"/>
      <c r="N16" s="16"/>
      <c r="O16" s="16"/>
    </row>
    <row r="17" spans="1:15" x14ac:dyDescent="0.25">
      <c r="A17" s="55">
        <v>46038</v>
      </c>
      <c r="B17" s="56" t="s">
        <v>44</v>
      </c>
      <c r="C17" s="56">
        <v>4</v>
      </c>
      <c r="D17" s="56">
        <v>1</v>
      </c>
      <c r="E17" s="56">
        <v>0</v>
      </c>
      <c r="F17" s="56">
        <v>0</v>
      </c>
      <c r="G17" s="57">
        <f t="shared" si="0"/>
        <v>3</v>
      </c>
      <c r="H17" s="60"/>
      <c r="I17" s="59"/>
      <c r="K17" s="16"/>
      <c r="L17" s="16"/>
      <c r="M17" s="16"/>
      <c r="N17" s="16"/>
      <c r="O17" s="16"/>
    </row>
    <row r="18" spans="1:15" x14ac:dyDescent="0.25">
      <c r="A18" s="55">
        <v>46039</v>
      </c>
      <c r="B18" s="56" t="s">
        <v>44</v>
      </c>
      <c r="C18" s="56">
        <v>1</v>
      </c>
      <c r="D18" s="56">
        <v>0</v>
      </c>
      <c r="E18" s="56">
        <v>0</v>
      </c>
      <c r="F18" s="56">
        <v>0</v>
      </c>
      <c r="G18" s="57">
        <f t="shared" si="0"/>
        <v>1</v>
      </c>
      <c r="H18" s="60"/>
      <c r="I18" s="59"/>
      <c r="K18" s="16"/>
      <c r="L18" s="16"/>
      <c r="M18" s="16"/>
      <c r="N18" s="16"/>
      <c r="O18" s="16"/>
    </row>
    <row r="19" spans="1:9" x14ac:dyDescent="0.25">
      <c r="A19" s="55">
        <v>46040</v>
      </c>
      <c r="B19" s="56" t="s">
        <v>44</v>
      </c>
      <c r="C19" s="56">
        <v>2</v>
      </c>
      <c r="D19" s="56">
        <v>0</v>
      </c>
      <c r="E19" s="56">
        <v>0</v>
      </c>
      <c r="F19" s="56">
        <v>0</v>
      </c>
      <c r="G19" s="57">
        <f t="shared" si="0"/>
        <v>2</v>
      </c>
      <c r="H19" s="61"/>
      <c r="I19" s="59"/>
    </row>
    <row r="20" spans="1:9" x14ac:dyDescent="0.25">
      <c r="A20" s="55">
        <v>46041</v>
      </c>
      <c r="B20" s="56" t="s">
        <v>44</v>
      </c>
      <c r="C20" s="56">
        <v>2</v>
      </c>
      <c r="D20" s="56">
        <v>0</v>
      </c>
      <c r="E20" s="56">
        <v>0</v>
      </c>
      <c r="F20" s="56">
        <v>0</v>
      </c>
      <c r="G20" s="57">
        <f t="shared" si="0"/>
        <v>2</v>
      </c>
      <c r="H20" s="58">
        <f>SUM(G20:G26)</f>
        <v>12</v>
      </c>
      <c r="I20" s="59"/>
    </row>
    <row r="21" spans="1:9" x14ac:dyDescent="0.25">
      <c r="A21" s="55">
        <v>46042</v>
      </c>
      <c r="B21" s="56" t="s">
        <v>44</v>
      </c>
      <c r="C21" s="56">
        <v>1</v>
      </c>
      <c r="D21" s="56">
        <v>0</v>
      </c>
      <c r="E21" s="56">
        <v>0</v>
      </c>
      <c r="F21" s="56">
        <v>0</v>
      </c>
      <c r="G21" s="57">
        <f t="shared" si="0"/>
        <v>1</v>
      </c>
      <c r="H21" s="60"/>
      <c r="I21" s="59"/>
    </row>
    <row r="22" spans="1:9" x14ac:dyDescent="0.25">
      <c r="A22" s="55">
        <v>46043</v>
      </c>
      <c r="B22" s="56" t="s">
        <v>44</v>
      </c>
      <c r="C22" s="56">
        <v>6</v>
      </c>
      <c r="D22" s="56">
        <v>1</v>
      </c>
      <c r="E22" s="56">
        <v>0</v>
      </c>
      <c r="F22" s="56">
        <v>0</v>
      </c>
      <c r="G22" s="57">
        <f t="shared" si="0"/>
        <v>5</v>
      </c>
      <c r="H22" s="60"/>
      <c r="I22" s="59"/>
    </row>
    <row r="23" spans="1:9" x14ac:dyDescent="0.25">
      <c r="A23" s="55">
        <v>46044</v>
      </c>
      <c r="B23" s="56" t="s">
        <v>44</v>
      </c>
      <c r="C23" s="56">
        <v>1</v>
      </c>
      <c r="D23" s="56">
        <v>1</v>
      </c>
      <c r="E23" s="56">
        <v>0</v>
      </c>
      <c r="F23" s="56">
        <v>0</v>
      </c>
      <c r="G23" s="57">
        <f t="shared" si="0"/>
        <v>0</v>
      </c>
      <c r="H23" s="60"/>
      <c r="I23" s="59"/>
    </row>
    <row r="24" spans="1:9" x14ac:dyDescent="0.25">
      <c r="A24" s="55">
        <v>46045</v>
      </c>
      <c r="B24" s="56" t="s">
        <v>44</v>
      </c>
      <c r="C24" s="56">
        <v>3</v>
      </c>
      <c r="D24" s="56">
        <v>0</v>
      </c>
      <c r="E24" s="56">
        <v>0</v>
      </c>
      <c r="F24" s="56">
        <v>0</v>
      </c>
      <c r="G24" s="57">
        <f t="shared" si="0"/>
        <v>3</v>
      </c>
      <c r="H24" s="60"/>
      <c r="I24" s="59"/>
    </row>
    <row r="25" spans="1:9" x14ac:dyDescent="0.25">
      <c r="A25" s="55">
        <v>46046</v>
      </c>
      <c r="B25" s="56" t="s">
        <v>44</v>
      </c>
      <c r="C25" s="56">
        <v>3</v>
      </c>
      <c r="D25" s="56">
        <v>1</v>
      </c>
      <c r="E25" s="56">
        <v>0</v>
      </c>
      <c r="F25" s="56">
        <v>0</v>
      </c>
      <c r="G25" s="57">
        <f t="shared" si="0"/>
        <v>2</v>
      </c>
      <c r="H25" s="60"/>
      <c r="I25" s="59"/>
    </row>
    <row r="26" spans="1:9" x14ac:dyDescent="0.25">
      <c r="A26" s="55">
        <v>46047</v>
      </c>
      <c r="B26" s="56" t="s">
        <v>44</v>
      </c>
      <c r="C26" s="56">
        <v>0</v>
      </c>
      <c r="D26" s="56">
        <v>1</v>
      </c>
      <c r="E26" s="56">
        <v>0</v>
      </c>
      <c r="F26" s="56">
        <v>0</v>
      </c>
      <c r="G26" s="57">
        <f t="shared" si="0"/>
        <v>-1</v>
      </c>
      <c r="H26" s="61"/>
      <c r="I26" s="59"/>
    </row>
    <row r="27" spans="1:9" x14ac:dyDescent="0.25">
      <c r="A27" s="55">
        <v>46048</v>
      </c>
      <c r="B27" s="56" t="s">
        <v>44</v>
      </c>
      <c r="C27" s="56">
        <v>7</v>
      </c>
      <c r="D27" s="56">
        <v>1</v>
      </c>
      <c r="E27" s="56">
        <v>0</v>
      </c>
      <c r="F27" s="56">
        <v>0</v>
      </c>
      <c r="G27" s="57">
        <f t="shared" si="0"/>
        <v>6</v>
      </c>
      <c r="H27" s="58">
        <f>SUM(G27:G33)</f>
        <v>23</v>
      </c>
      <c r="I27" s="59"/>
    </row>
    <row r="28" spans="1:9" x14ac:dyDescent="0.25">
      <c r="A28" s="55">
        <v>46049</v>
      </c>
      <c r="B28" s="56" t="s">
        <v>44</v>
      </c>
      <c r="C28" s="56">
        <v>0</v>
      </c>
      <c r="D28" s="56">
        <v>1</v>
      </c>
      <c r="E28" s="56">
        <v>0</v>
      </c>
      <c r="F28" s="56">
        <v>0</v>
      </c>
      <c r="G28" s="57">
        <f t="shared" si="0"/>
        <v>-1</v>
      </c>
      <c r="H28" s="60"/>
      <c r="I28" s="59"/>
    </row>
    <row r="29" spans="1:9" x14ac:dyDescent="0.25">
      <c r="A29" s="55">
        <v>46050</v>
      </c>
      <c r="B29" s="56" t="s">
        <v>44</v>
      </c>
      <c r="C29" s="56">
        <v>7</v>
      </c>
      <c r="D29" s="56">
        <v>0</v>
      </c>
      <c r="E29" s="56">
        <v>0</v>
      </c>
      <c r="F29" s="56">
        <v>0</v>
      </c>
      <c r="G29" s="57">
        <f t="shared" si="0"/>
        <v>7</v>
      </c>
      <c r="H29" s="60"/>
      <c r="I29" s="59"/>
    </row>
    <row r="30" spans="1:9" x14ac:dyDescent="0.25">
      <c r="A30" s="55">
        <v>46051</v>
      </c>
      <c r="B30" s="56" t="s">
        <v>44</v>
      </c>
      <c r="C30" s="56">
        <v>4</v>
      </c>
      <c r="D30" s="56">
        <v>0</v>
      </c>
      <c r="E30" s="56">
        <v>0</v>
      </c>
      <c r="F30" s="56">
        <v>0</v>
      </c>
      <c r="G30" s="57">
        <f t="shared" si="0"/>
        <v>4</v>
      </c>
      <c r="H30" s="60"/>
      <c r="I30" s="59"/>
    </row>
    <row r="31" spans="1:9" x14ac:dyDescent="0.25">
      <c r="A31" s="55">
        <v>46052</v>
      </c>
      <c r="B31" s="56" t="s">
        <v>44</v>
      </c>
      <c r="C31" s="56">
        <v>5</v>
      </c>
      <c r="D31" s="56">
        <v>0</v>
      </c>
      <c r="E31" s="56">
        <v>0</v>
      </c>
      <c r="F31" s="56">
        <v>0</v>
      </c>
      <c r="G31" s="57">
        <f t="shared" si="0"/>
        <v>5</v>
      </c>
      <c r="H31" s="60"/>
      <c r="I31" s="59"/>
    </row>
    <row r="32" spans="1:9" x14ac:dyDescent="0.25">
      <c r="A32" s="55">
        <v>46053</v>
      </c>
      <c r="B32" s="56" t="s">
        <v>44</v>
      </c>
      <c r="C32" s="56">
        <v>2</v>
      </c>
      <c r="D32" s="56">
        <v>1</v>
      </c>
      <c r="E32" s="56">
        <v>0</v>
      </c>
      <c r="F32" s="56">
        <v>0</v>
      </c>
      <c r="G32" s="57">
        <f t="shared" si="0"/>
        <v>1</v>
      </c>
      <c r="H32" s="60"/>
      <c r="I32" s="59"/>
    </row>
    <row r="33" spans="1:9" x14ac:dyDescent="0.25">
      <c r="A33" s="55">
        <v>46054</v>
      </c>
      <c r="B33" s="56" t="s">
        <v>44</v>
      </c>
      <c r="C33" s="56">
        <v>2</v>
      </c>
      <c r="D33" s="56">
        <v>2</v>
      </c>
      <c r="E33" s="56">
        <v>1</v>
      </c>
      <c r="F33" s="56">
        <v>0</v>
      </c>
      <c r="G33" s="57">
        <f t="shared" si="0"/>
        <v>1</v>
      </c>
      <c r="H33" s="61"/>
      <c r="I33" s="59"/>
    </row>
    <row r="34" spans="1:9" x14ac:dyDescent="0.25">
      <c r="A34" s="55">
        <v>46055</v>
      </c>
      <c r="B34" s="56" t="s">
        <v>44</v>
      </c>
      <c r="C34" s="56">
        <v>8</v>
      </c>
      <c r="D34" s="56">
        <v>0</v>
      </c>
      <c r="E34" s="56">
        <v>0</v>
      </c>
      <c r="F34" s="56">
        <v>0</v>
      </c>
      <c r="G34" s="57">
        <f t="shared" si="0"/>
        <v>8</v>
      </c>
      <c r="H34" s="58">
        <f>SUM(G34:G40)</f>
        <v>30</v>
      </c>
      <c r="I34" s="59"/>
    </row>
    <row r="35" spans="1:9" x14ac:dyDescent="0.25">
      <c r="A35" s="55">
        <v>46056</v>
      </c>
      <c r="B35" s="56" t="s">
        <v>44</v>
      </c>
      <c r="C35" s="56">
        <v>4</v>
      </c>
      <c r="D35" s="56">
        <v>1</v>
      </c>
      <c r="E35" s="56">
        <v>0</v>
      </c>
      <c r="F35" s="56">
        <v>0</v>
      </c>
      <c r="G35" s="57">
        <f t="shared" si="0"/>
        <v>3</v>
      </c>
      <c r="H35" s="60"/>
      <c r="I35" s="59"/>
    </row>
    <row r="36" spans="1:9" x14ac:dyDescent="0.25">
      <c r="A36" s="55">
        <v>46057</v>
      </c>
      <c r="B36" s="56" t="s">
        <v>44</v>
      </c>
      <c r="C36" s="56">
        <v>6</v>
      </c>
      <c r="D36" s="56">
        <v>1</v>
      </c>
      <c r="E36" s="56">
        <v>0</v>
      </c>
      <c r="F36" s="56">
        <v>0</v>
      </c>
      <c r="G36" s="57">
        <f t="shared" si="0"/>
        <v>5</v>
      </c>
      <c r="H36" s="60"/>
      <c r="I36" s="59"/>
    </row>
    <row r="37" spans="1:9" x14ac:dyDescent="0.25">
      <c r="A37" s="55">
        <v>46058</v>
      </c>
      <c r="B37" s="56" t="s">
        <v>44</v>
      </c>
      <c r="C37" s="56">
        <v>2</v>
      </c>
      <c r="D37" s="56">
        <v>0</v>
      </c>
      <c r="E37" s="56">
        <v>0</v>
      </c>
      <c r="F37" s="56">
        <v>0</v>
      </c>
      <c r="G37" s="57">
        <f t="shared" si="0"/>
        <v>2</v>
      </c>
      <c r="H37" s="60"/>
      <c r="I37" s="59"/>
    </row>
    <row r="38" spans="1:9" x14ac:dyDescent="0.25">
      <c r="A38" s="55">
        <v>46059</v>
      </c>
      <c r="B38" s="56" t="s">
        <v>44</v>
      </c>
      <c r="C38" s="56">
        <v>4</v>
      </c>
      <c r="D38" s="56">
        <v>0</v>
      </c>
      <c r="E38" s="56">
        <v>0</v>
      </c>
      <c r="F38" s="56">
        <v>0</v>
      </c>
      <c r="G38" s="57">
        <f t="shared" si="0"/>
        <v>4</v>
      </c>
      <c r="H38" s="60"/>
      <c r="I38" s="59"/>
    </row>
    <row r="39" spans="1:9" x14ac:dyDescent="0.25">
      <c r="A39" s="55">
        <v>46060</v>
      </c>
      <c r="B39" s="56" t="s">
        <v>44</v>
      </c>
      <c r="C39" s="56">
        <v>3</v>
      </c>
      <c r="D39" s="56">
        <v>1</v>
      </c>
      <c r="E39" s="56">
        <v>0</v>
      </c>
      <c r="F39" s="56">
        <v>0</v>
      </c>
      <c r="G39" s="57">
        <f t="shared" si="0"/>
        <v>2</v>
      </c>
      <c r="H39" s="60"/>
      <c r="I39" s="59"/>
    </row>
    <row r="40" spans="1:9" x14ac:dyDescent="0.25">
      <c r="A40" s="55">
        <v>46061</v>
      </c>
      <c r="B40" s="56" t="s">
        <v>44</v>
      </c>
      <c r="C40" s="56">
        <v>6</v>
      </c>
      <c r="D40" s="56">
        <v>0</v>
      </c>
      <c r="E40" s="56">
        <v>0</v>
      </c>
      <c r="F40" s="56">
        <v>0</v>
      </c>
      <c r="G40" s="57">
        <f t="shared" si="0"/>
        <v>6</v>
      </c>
      <c r="H40" s="61"/>
      <c r="I40" s="59"/>
    </row>
    <row r="41" spans="1:9" x14ac:dyDescent="0.25">
      <c r="A41" s="55">
        <v>46062</v>
      </c>
      <c r="B41" s="56" t="s">
        <v>44</v>
      </c>
      <c r="C41" s="56">
        <v>1</v>
      </c>
      <c r="D41" s="56">
        <v>1</v>
      </c>
      <c r="E41" s="56">
        <v>0</v>
      </c>
      <c r="F41" s="56">
        <v>0</v>
      </c>
      <c r="G41" s="57">
        <f t="shared" si="0"/>
        <v>0</v>
      </c>
      <c r="H41" s="58">
        <f>SUM(G41:G47)</f>
        <v>29</v>
      </c>
      <c r="I41" s="59"/>
    </row>
    <row r="42" spans="1:9" x14ac:dyDescent="0.25">
      <c r="A42" s="55">
        <v>46063</v>
      </c>
      <c r="B42" s="56" t="s">
        <v>44</v>
      </c>
      <c r="C42" s="56">
        <v>3</v>
      </c>
      <c r="D42" s="56">
        <v>0</v>
      </c>
      <c r="E42" s="56">
        <v>0</v>
      </c>
      <c r="F42" s="56">
        <v>0</v>
      </c>
      <c r="G42" s="57">
        <f t="shared" si="0"/>
        <v>3</v>
      </c>
      <c r="H42" s="60"/>
      <c r="I42" s="59"/>
    </row>
    <row r="43" spans="1:9" x14ac:dyDescent="0.25">
      <c r="A43" s="55">
        <v>46064</v>
      </c>
      <c r="B43" s="56" t="s">
        <v>44</v>
      </c>
      <c r="C43" s="56">
        <v>3</v>
      </c>
      <c r="D43" s="56">
        <v>0</v>
      </c>
      <c r="E43" s="56">
        <v>0</v>
      </c>
      <c r="F43" s="56">
        <v>0</v>
      </c>
      <c r="G43" s="57">
        <f t="shared" si="0"/>
        <v>3</v>
      </c>
      <c r="H43" s="60"/>
      <c r="I43" s="59"/>
    </row>
    <row r="44" spans="1:9" x14ac:dyDescent="0.25">
      <c r="A44" s="55">
        <v>46065</v>
      </c>
      <c r="B44" s="56" t="s">
        <v>44</v>
      </c>
      <c r="C44" s="56">
        <v>12</v>
      </c>
      <c r="D44" s="56">
        <v>1</v>
      </c>
      <c r="E44" s="56">
        <v>0</v>
      </c>
      <c r="F44" s="56">
        <v>0</v>
      </c>
      <c r="G44" s="57">
        <f t="shared" si="0"/>
        <v>11</v>
      </c>
      <c r="H44" s="60"/>
      <c r="I44" s="59"/>
    </row>
    <row r="45" spans="1:9" x14ac:dyDescent="0.25">
      <c r="A45" s="55">
        <v>46066</v>
      </c>
      <c r="B45" s="56" t="s">
        <v>44</v>
      </c>
      <c r="C45" s="56">
        <v>4</v>
      </c>
      <c r="D45" s="56">
        <v>0</v>
      </c>
      <c r="E45" s="56">
        <v>0</v>
      </c>
      <c r="F45" s="56">
        <v>0</v>
      </c>
      <c r="G45" s="57">
        <f t="shared" si="0"/>
        <v>4</v>
      </c>
      <c r="H45" s="60"/>
      <c r="I45" s="59"/>
    </row>
    <row r="46" spans="1:9" x14ac:dyDescent="0.25">
      <c r="A46" s="55">
        <v>46067</v>
      </c>
      <c r="B46" s="56" t="s">
        <v>44</v>
      </c>
      <c r="C46" s="56">
        <v>5</v>
      </c>
      <c r="D46" s="56">
        <v>2</v>
      </c>
      <c r="E46" s="56">
        <v>0</v>
      </c>
      <c r="F46" s="56">
        <v>0</v>
      </c>
      <c r="G46" s="57">
        <f t="shared" si="0"/>
        <v>3</v>
      </c>
      <c r="H46" s="60"/>
      <c r="I46" s="59"/>
    </row>
    <row r="47" spans="1:9" x14ac:dyDescent="0.25">
      <c r="A47" s="55">
        <v>46068</v>
      </c>
      <c r="B47" s="56" t="s">
        <v>44</v>
      </c>
      <c r="C47" s="56">
        <v>5</v>
      </c>
      <c r="D47" s="56">
        <v>0</v>
      </c>
      <c r="E47" s="56">
        <v>0</v>
      </c>
      <c r="F47" s="56">
        <v>0</v>
      </c>
      <c r="G47" s="57">
        <f t="shared" si="0"/>
        <v>5</v>
      </c>
      <c r="H47" s="61"/>
      <c r="I47" s="59"/>
    </row>
    <row r="48" spans="1:9" x14ac:dyDescent="0.25">
      <c r="A48" s="55">
        <v>46069</v>
      </c>
      <c r="B48" s="56" t="s">
        <v>44</v>
      </c>
      <c r="C48" s="56">
        <v>2</v>
      </c>
      <c r="D48" s="56">
        <v>1</v>
      </c>
      <c r="E48" s="56">
        <v>0</v>
      </c>
      <c r="F48" s="56">
        <v>0</v>
      </c>
      <c r="G48" s="57">
        <f t="shared" si="0"/>
        <v>1</v>
      </c>
      <c r="H48" s="58">
        <f>SUM(G48:G54)</f>
        <v>76</v>
      </c>
      <c r="I48" s="59"/>
    </row>
    <row r="49" spans="1:9" x14ac:dyDescent="0.25">
      <c r="A49" s="55">
        <v>46070</v>
      </c>
      <c r="B49" s="56" t="s">
        <v>44</v>
      </c>
      <c r="C49" s="56">
        <v>2</v>
      </c>
      <c r="D49" s="56">
        <v>0</v>
      </c>
      <c r="E49" s="56">
        <v>0</v>
      </c>
      <c r="F49" s="56">
        <v>0</v>
      </c>
      <c r="G49" s="57">
        <f t="shared" si="0"/>
        <v>2</v>
      </c>
      <c r="H49" s="60"/>
      <c r="I49" s="59"/>
    </row>
    <row r="50" spans="1:9" x14ac:dyDescent="0.25">
      <c r="A50" s="55">
        <v>46071</v>
      </c>
      <c r="B50" s="56" t="s">
        <v>44</v>
      </c>
      <c r="C50" s="56">
        <v>4</v>
      </c>
      <c r="D50" s="56">
        <v>2</v>
      </c>
      <c r="E50" s="56">
        <v>0</v>
      </c>
      <c r="F50" s="56">
        <v>0</v>
      </c>
      <c r="G50" s="57">
        <f t="shared" si="0"/>
        <v>2</v>
      </c>
      <c r="H50" s="60"/>
      <c r="I50" s="59"/>
    </row>
    <row r="51" spans="1:9" x14ac:dyDescent="0.25">
      <c r="A51" s="55">
        <v>46072</v>
      </c>
      <c r="B51" s="56" t="s">
        <v>44</v>
      </c>
      <c r="C51" s="56">
        <v>3</v>
      </c>
      <c r="D51" s="56">
        <v>1</v>
      </c>
      <c r="E51" s="56">
        <v>0</v>
      </c>
      <c r="F51" s="56">
        <v>0</v>
      </c>
      <c r="G51" s="57">
        <f t="shared" si="0"/>
        <v>2</v>
      </c>
      <c r="H51" s="60"/>
      <c r="I51" s="59"/>
    </row>
    <row r="52" spans="1:9" x14ac:dyDescent="0.25">
      <c r="A52" s="55">
        <v>46073</v>
      </c>
      <c r="B52" s="56" t="s">
        <v>44</v>
      </c>
      <c r="C52" s="56">
        <v>4</v>
      </c>
      <c r="D52" s="56">
        <v>1</v>
      </c>
      <c r="E52" s="56">
        <v>0</v>
      </c>
      <c r="F52" s="56">
        <v>0</v>
      </c>
      <c r="G52" s="57">
        <f t="shared" si="0"/>
        <v>3</v>
      </c>
      <c r="H52" s="60"/>
      <c r="I52" s="59"/>
    </row>
    <row r="53" spans="1:9" x14ac:dyDescent="0.25">
      <c r="A53" s="55">
        <v>46074</v>
      </c>
      <c r="B53" s="56" t="s">
        <v>44</v>
      </c>
      <c r="C53" s="56">
        <v>4</v>
      </c>
      <c r="D53" s="56">
        <v>0</v>
      </c>
      <c r="E53" s="56">
        <v>0</v>
      </c>
      <c r="F53" s="56">
        <v>0</v>
      </c>
      <c r="G53" s="57">
        <f t="shared" si="0"/>
        <v>4</v>
      </c>
      <c r="H53" s="60"/>
      <c r="I53" s="59"/>
    </row>
    <row r="54" spans="1:9" x14ac:dyDescent="0.25">
      <c r="A54" s="55">
        <v>46075</v>
      </c>
      <c r="B54" s="56" t="s">
        <v>44</v>
      </c>
      <c r="C54" s="56">
        <v>63</v>
      </c>
      <c r="D54" s="56">
        <v>1</v>
      </c>
      <c r="E54" s="56">
        <v>0</v>
      </c>
      <c r="F54" s="56">
        <v>0</v>
      </c>
      <c r="G54" s="57">
        <f t="shared" si="0"/>
        <v>62</v>
      </c>
      <c r="H54" s="61"/>
      <c r="I54" s="59"/>
    </row>
    <row r="55" spans="1:9" x14ac:dyDescent="0.25">
      <c r="A55" s="55">
        <v>46076</v>
      </c>
      <c r="B55" s="56" t="s">
        <v>44</v>
      </c>
      <c r="C55" s="56">
        <v>227</v>
      </c>
      <c r="D55" s="56">
        <v>9</v>
      </c>
      <c r="E55" s="56">
        <v>0</v>
      </c>
      <c r="F55" s="56">
        <v>0</v>
      </c>
      <c r="G55" s="57">
        <f t="shared" si="0"/>
        <v>218</v>
      </c>
      <c r="H55" s="58">
        <f>SUM(G55:G61)</f>
        <v>959</v>
      </c>
      <c r="I55" s="59"/>
    </row>
    <row r="56" spans="1:9" x14ac:dyDescent="0.25">
      <c r="A56" s="55">
        <v>46077</v>
      </c>
      <c r="B56" s="56" t="s">
        <v>44</v>
      </c>
      <c r="C56" s="56">
        <v>263</v>
      </c>
      <c r="D56" s="56">
        <v>10</v>
      </c>
      <c r="E56" s="56">
        <v>0</v>
      </c>
      <c r="F56" s="56">
        <v>0</v>
      </c>
      <c r="G56" s="57">
        <f t="shared" si="0"/>
        <v>253</v>
      </c>
      <c r="H56" s="60"/>
      <c r="I56" s="59"/>
    </row>
    <row r="57" spans="1:9" x14ac:dyDescent="0.25">
      <c r="A57" s="55">
        <v>46078</v>
      </c>
      <c r="B57" s="56" t="s">
        <v>44</v>
      </c>
      <c r="C57" s="56">
        <v>173</v>
      </c>
      <c r="D57" s="56">
        <v>10</v>
      </c>
      <c r="E57" s="56">
        <v>0</v>
      </c>
      <c r="F57" s="56">
        <v>0</v>
      </c>
      <c r="G57" s="57">
        <f t="shared" si="0"/>
        <v>163</v>
      </c>
      <c r="H57" s="60"/>
      <c r="I57" s="59"/>
    </row>
    <row r="58" spans="1:9" x14ac:dyDescent="0.25">
      <c r="A58" s="55">
        <v>46079</v>
      </c>
      <c r="B58" s="56" t="s">
        <v>44</v>
      </c>
      <c r="C58" s="56">
        <v>96</v>
      </c>
      <c r="D58" s="56">
        <v>9</v>
      </c>
      <c r="E58" s="56">
        <v>0</v>
      </c>
      <c r="F58" s="56">
        <v>0</v>
      </c>
      <c r="G58" s="57">
        <f t="shared" si="0"/>
        <v>87</v>
      </c>
      <c r="H58" s="60"/>
      <c r="I58" s="59"/>
    </row>
    <row r="59" spans="1:9" x14ac:dyDescent="0.25">
      <c r="A59" s="55">
        <v>46080</v>
      </c>
      <c r="B59" s="56" t="s">
        <v>44</v>
      </c>
      <c r="C59" s="56">
        <v>85</v>
      </c>
      <c r="D59" s="56">
        <v>5</v>
      </c>
      <c r="E59" s="56">
        <v>0</v>
      </c>
      <c r="F59" s="56">
        <v>0</v>
      </c>
      <c r="G59" s="57">
        <f t="shared" si="0"/>
        <v>80</v>
      </c>
      <c r="H59" s="60"/>
      <c r="I59" s="59"/>
    </row>
    <row r="60" spans="1:9" x14ac:dyDescent="0.25">
      <c r="A60" s="55">
        <v>46081</v>
      </c>
      <c r="B60" s="56" t="s">
        <v>44</v>
      </c>
      <c r="C60" s="56">
        <v>96</v>
      </c>
      <c r="D60" s="56">
        <v>7</v>
      </c>
      <c r="E60" s="56">
        <v>0</v>
      </c>
      <c r="F60" s="56">
        <v>0</v>
      </c>
      <c r="G60" s="57">
        <f t="shared" si="0"/>
        <v>89</v>
      </c>
      <c r="H60" s="60"/>
      <c r="I60" s="59"/>
    </row>
    <row r="61" spans="1:9" x14ac:dyDescent="0.25">
      <c r="A61" s="55">
        <v>46082</v>
      </c>
      <c r="B61" s="56" t="s">
        <v>44</v>
      </c>
      <c r="C61" s="56">
        <v>73</v>
      </c>
      <c r="D61" s="56">
        <v>4</v>
      </c>
      <c r="E61" s="56">
        <v>0</v>
      </c>
      <c r="F61" s="56">
        <v>0</v>
      </c>
      <c r="G61" s="57">
        <f t="shared" si="0"/>
        <v>69</v>
      </c>
      <c r="H61" s="61"/>
      <c r="I61" s="59"/>
    </row>
    <row r="62" spans="1:9" x14ac:dyDescent="0.25">
      <c r="A62" s="55">
        <v>46083</v>
      </c>
      <c r="B62" s="56" t="s">
        <v>44</v>
      </c>
      <c r="C62" s="56">
        <v>16</v>
      </c>
      <c r="D62" s="56">
        <v>3</v>
      </c>
      <c r="E62" s="56">
        <v>0</v>
      </c>
      <c r="F62" s="56">
        <v>0</v>
      </c>
      <c r="G62" s="57">
        <v>13</v>
      </c>
      <c r="H62" s="58">
        <f>SUM(G62:G68)</f>
        <v>37</v>
      </c>
      <c r="I62" s="59"/>
    </row>
    <row r="63" spans="1:9" x14ac:dyDescent="0.25">
      <c r="A63" s="55">
        <v>46084</v>
      </c>
      <c r="B63" s="56" t="s">
        <v>44</v>
      </c>
      <c r="C63" s="56">
        <v>8</v>
      </c>
      <c r="D63" s="56">
        <v>3</v>
      </c>
      <c r="E63" s="56">
        <v>0</v>
      </c>
      <c r="F63" s="56">
        <v>0</v>
      </c>
      <c r="G63" s="57">
        <v>5</v>
      </c>
      <c r="H63" s="60"/>
      <c r="I63" s="59"/>
    </row>
    <row r="64" spans="1:9" x14ac:dyDescent="0.25">
      <c r="A64" s="55">
        <v>46085</v>
      </c>
      <c r="B64" s="56" t="s">
        <v>44</v>
      </c>
      <c r="C64" s="56">
        <v>8</v>
      </c>
      <c r="D64" s="56">
        <v>4</v>
      </c>
      <c r="E64" s="56">
        <v>1</v>
      </c>
      <c r="F64" s="56">
        <v>0</v>
      </c>
      <c r="G64" s="57">
        <v>4</v>
      </c>
      <c r="H64" s="60"/>
      <c r="I64" s="59"/>
    </row>
    <row r="65" spans="1:9" x14ac:dyDescent="0.25">
      <c r="A65" s="55">
        <v>46086</v>
      </c>
      <c r="B65" s="56" t="s">
        <v>44</v>
      </c>
      <c r="C65" s="56">
        <v>8</v>
      </c>
      <c r="D65" s="56">
        <v>3</v>
      </c>
      <c r="E65" s="56">
        <v>0</v>
      </c>
      <c r="F65" s="56">
        <v>0</v>
      </c>
      <c r="G65" s="57">
        <v>5</v>
      </c>
      <c r="H65" s="60"/>
      <c r="I65" s="59"/>
    </row>
    <row r="66" spans="1:9" x14ac:dyDescent="0.25">
      <c r="A66" s="55">
        <v>46087</v>
      </c>
      <c r="B66" s="56" t="s">
        <v>44</v>
      </c>
      <c r="C66" s="56">
        <v>3</v>
      </c>
      <c r="D66" s="56">
        <v>2</v>
      </c>
      <c r="E66" s="56">
        <v>0</v>
      </c>
      <c r="F66" s="56">
        <v>0</v>
      </c>
      <c r="G66" s="57">
        <v>1</v>
      </c>
      <c r="H66" s="60"/>
      <c r="I66" s="59"/>
    </row>
    <row r="67" spans="1:9" x14ac:dyDescent="0.25">
      <c r="A67" s="55">
        <v>46088</v>
      </c>
      <c r="B67" s="56" t="s">
        <v>44</v>
      </c>
      <c r="C67" s="56">
        <v>8</v>
      </c>
      <c r="D67" s="56">
        <v>2</v>
      </c>
      <c r="E67" s="56">
        <v>0</v>
      </c>
      <c r="F67" s="56">
        <v>0</v>
      </c>
      <c r="G67" s="57">
        <v>6</v>
      </c>
      <c r="H67" s="60"/>
      <c r="I67" s="59"/>
    </row>
    <row r="68" spans="1:9" x14ac:dyDescent="0.25">
      <c r="A68" s="55">
        <v>46089</v>
      </c>
      <c r="B68" s="56" t="s">
        <v>44</v>
      </c>
      <c r="C68" s="56">
        <v>3</v>
      </c>
      <c r="D68" s="56">
        <v>0</v>
      </c>
      <c r="E68" s="56">
        <v>0</v>
      </c>
      <c r="F68" s="56">
        <v>0</v>
      </c>
      <c r="G68" s="57">
        <v>3</v>
      </c>
      <c r="H68" s="61"/>
      <c r="I68" s="59"/>
    </row>
    <row r="69" spans="1:12" x14ac:dyDescent="0.25">
      <c r="A69" s="55">
        <v>46090</v>
      </c>
      <c r="B69" s="56" t="s">
        <v>44</v>
      </c>
      <c r="C69" s="56">
        <v>8</v>
      </c>
      <c r="D69" s="56">
        <v>1</v>
      </c>
      <c r="E69" s="56">
        <v>0</v>
      </c>
      <c r="F69" s="56">
        <v>0</v>
      </c>
      <c r="G69" s="57">
        <v>7</v>
      </c>
      <c r="H69" s="58">
        <f>SUM(G69:G75)</f>
        <v>24</v>
      </c>
      <c r="I69" s="59"/>
      <c r="L69" s="31"/>
    </row>
    <row r="70" spans="1:9" x14ac:dyDescent="0.25">
      <c r="A70" s="55">
        <v>46091</v>
      </c>
      <c r="B70" s="56" t="s">
        <v>44</v>
      </c>
      <c r="C70" s="56">
        <v>6</v>
      </c>
      <c r="D70" s="56">
        <v>1</v>
      </c>
      <c r="E70" s="56">
        <v>0</v>
      </c>
      <c r="F70" s="56">
        <v>0</v>
      </c>
      <c r="G70" s="57">
        <v>5</v>
      </c>
      <c r="H70" s="60"/>
      <c r="I70" s="59"/>
    </row>
    <row r="71" spans="1:9" x14ac:dyDescent="0.25">
      <c r="A71" s="55">
        <v>46092</v>
      </c>
      <c r="B71" s="56" t="s">
        <v>44</v>
      </c>
      <c r="C71" s="56">
        <v>5</v>
      </c>
      <c r="D71" s="56">
        <v>0</v>
      </c>
      <c r="E71" s="56">
        <v>0</v>
      </c>
      <c r="F71" s="56">
        <v>0</v>
      </c>
      <c r="G71" s="57">
        <v>5</v>
      </c>
      <c r="H71" s="60"/>
      <c r="I71" s="59"/>
    </row>
    <row r="72" spans="1:9" x14ac:dyDescent="0.25">
      <c r="A72" s="55">
        <v>46093</v>
      </c>
      <c r="B72" s="56" t="s">
        <v>44</v>
      </c>
      <c r="C72" s="56">
        <v>3</v>
      </c>
      <c r="D72" s="56">
        <v>1</v>
      </c>
      <c r="E72" s="56">
        <v>0</v>
      </c>
      <c r="F72" s="56">
        <v>0</v>
      </c>
      <c r="G72" s="57">
        <v>2</v>
      </c>
      <c r="H72" s="60"/>
      <c r="I72" s="59"/>
    </row>
    <row r="73" spans="1:9" x14ac:dyDescent="0.25">
      <c r="A73" s="55">
        <v>46094</v>
      </c>
      <c r="B73" s="56" t="s">
        <v>44</v>
      </c>
      <c r="C73" s="56">
        <v>3</v>
      </c>
      <c r="D73" s="56">
        <v>1</v>
      </c>
      <c r="E73" s="56">
        <v>0</v>
      </c>
      <c r="F73" s="56">
        <v>0</v>
      </c>
      <c r="G73" s="57">
        <v>2</v>
      </c>
      <c r="H73" s="60"/>
      <c r="I73" s="59"/>
    </row>
    <row r="74" spans="1:9" x14ac:dyDescent="0.25">
      <c r="A74" s="55">
        <v>46095</v>
      </c>
      <c r="B74" s="56" t="s">
        <v>44</v>
      </c>
      <c r="C74" s="56">
        <v>3</v>
      </c>
      <c r="D74" s="56">
        <v>1</v>
      </c>
      <c r="E74" s="56">
        <v>0</v>
      </c>
      <c r="F74" s="56">
        <v>0</v>
      </c>
      <c r="G74" s="57">
        <v>2</v>
      </c>
      <c r="H74" s="60"/>
      <c r="I74" s="59"/>
    </row>
    <row r="75" spans="1:9" x14ac:dyDescent="0.25">
      <c r="A75" s="55">
        <v>46096</v>
      </c>
      <c r="B75" s="56" t="s">
        <v>44</v>
      </c>
      <c r="C75" s="56">
        <v>2</v>
      </c>
      <c r="D75" s="56">
        <v>1</v>
      </c>
      <c r="E75" s="56">
        <v>0</v>
      </c>
      <c r="F75" s="56">
        <v>0</v>
      </c>
      <c r="G75" s="57">
        <v>1</v>
      </c>
      <c r="H75" s="61"/>
      <c r="I75" s="59"/>
    </row>
    <row r="76" spans="1:9" x14ac:dyDescent="0.25">
      <c r="A76" s="55">
        <v>46097</v>
      </c>
      <c r="B76" s="56" t="s">
        <v>44</v>
      </c>
      <c r="C76" s="56">
        <v>1</v>
      </c>
      <c r="D76" s="56">
        <v>2</v>
      </c>
      <c r="E76" s="56">
        <v>0</v>
      </c>
      <c r="F76" s="56">
        <v>0</v>
      </c>
      <c r="G76" s="57">
        <v>-1</v>
      </c>
      <c r="H76" s="58">
        <f>SUM(G76:G82)</f>
        <v>11</v>
      </c>
      <c r="I76" s="59"/>
    </row>
    <row r="77" spans="1:9" x14ac:dyDescent="0.25">
      <c r="A77" s="55">
        <v>46098</v>
      </c>
      <c r="B77" s="56" t="s">
        <v>44</v>
      </c>
      <c r="C77" s="56">
        <v>1</v>
      </c>
      <c r="D77" s="56">
        <v>1</v>
      </c>
      <c r="E77" s="56">
        <v>0</v>
      </c>
      <c r="F77" s="56">
        <v>0</v>
      </c>
      <c r="G77" s="57">
        <v>0</v>
      </c>
      <c r="H77" s="60"/>
      <c r="I77" s="59"/>
    </row>
    <row r="78" spans="1:9" x14ac:dyDescent="0.25">
      <c r="A78" s="55">
        <v>46099</v>
      </c>
      <c r="B78" s="56" t="s">
        <v>44</v>
      </c>
      <c r="C78" s="56">
        <v>1</v>
      </c>
      <c r="D78" s="56">
        <v>0</v>
      </c>
      <c r="E78" s="56">
        <v>0</v>
      </c>
      <c r="F78" s="56">
        <v>0</v>
      </c>
      <c r="G78" s="57">
        <v>1</v>
      </c>
      <c r="H78" s="60"/>
      <c r="I78" s="59"/>
    </row>
    <row r="79" spans="1:9" x14ac:dyDescent="0.25">
      <c r="A79" s="55">
        <v>46100</v>
      </c>
      <c r="B79" s="56" t="s">
        <v>44</v>
      </c>
      <c r="C79" s="56">
        <v>5</v>
      </c>
      <c r="D79" s="56">
        <v>1</v>
      </c>
      <c r="E79" s="56">
        <v>0</v>
      </c>
      <c r="F79" s="56">
        <v>0</v>
      </c>
      <c r="G79" s="57">
        <v>4</v>
      </c>
      <c r="H79" s="60"/>
      <c r="I79" s="59"/>
    </row>
    <row r="80" spans="1:9" x14ac:dyDescent="0.25">
      <c r="A80" s="55">
        <v>46101</v>
      </c>
      <c r="B80" s="56" t="s">
        <v>44</v>
      </c>
      <c r="C80" s="56">
        <v>4</v>
      </c>
      <c r="D80" s="56">
        <v>1</v>
      </c>
      <c r="E80" s="56">
        <v>0</v>
      </c>
      <c r="F80" s="56">
        <v>0</v>
      </c>
      <c r="G80" s="57">
        <v>3</v>
      </c>
      <c r="H80" s="60"/>
      <c r="I80" s="59"/>
    </row>
    <row r="81" spans="1:9" x14ac:dyDescent="0.25">
      <c r="A81" s="55">
        <v>46102</v>
      </c>
      <c r="B81" s="56" t="s">
        <v>44</v>
      </c>
      <c r="C81" s="56">
        <v>3</v>
      </c>
      <c r="D81" s="56">
        <v>1</v>
      </c>
      <c r="E81" s="56">
        <v>0</v>
      </c>
      <c r="F81" s="56">
        <v>0</v>
      </c>
      <c r="G81" s="57">
        <v>2</v>
      </c>
      <c r="H81" s="60"/>
      <c r="I81" s="59"/>
    </row>
    <row r="82" spans="1:9" x14ac:dyDescent="0.25">
      <c r="A82" s="55">
        <v>46103</v>
      </c>
      <c r="B82" s="56" t="s">
        <v>44</v>
      </c>
      <c r="C82" s="56">
        <v>2</v>
      </c>
      <c r="D82" s="56">
        <v>0</v>
      </c>
      <c r="E82" s="56">
        <v>0</v>
      </c>
      <c r="F82" s="56">
        <v>0</v>
      </c>
      <c r="G82" s="57">
        <v>2</v>
      </c>
      <c r="H82" s="61"/>
      <c r="I82" s="59"/>
    </row>
    <row r="83" spans="1:9" x14ac:dyDescent="0.25">
      <c r="A83" s="55">
        <v>46104</v>
      </c>
      <c r="B83" s="56" t="s">
        <v>44</v>
      </c>
      <c r="C83" s="56">
        <v>6</v>
      </c>
      <c r="D83" s="56">
        <v>7</v>
      </c>
      <c r="E83" s="56">
        <v>0</v>
      </c>
      <c r="F83" s="56">
        <v>0</v>
      </c>
      <c r="G83" s="57">
        <v>-1</v>
      </c>
      <c r="H83" s="58">
        <f>SUM(G83:G89)</f>
        <v>17</v>
      </c>
      <c r="I83" s="59"/>
    </row>
    <row r="84" spans="1:9" x14ac:dyDescent="0.25">
      <c r="A84" s="55">
        <v>46105</v>
      </c>
      <c r="B84" s="56" t="s">
        <v>44</v>
      </c>
      <c r="C84" s="56">
        <v>5</v>
      </c>
      <c r="D84" s="56">
        <v>0</v>
      </c>
      <c r="E84" s="56">
        <v>0</v>
      </c>
      <c r="F84" s="56">
        <v>0</v>
      </c>
      <c r="G84" s="57">
        <v>5</v>
      </c>
      <c r="H84" s="60"/>
      <c r="I84" s="59"/>
    </row>
    <row r="85" spans="1:9" x14ac:dyDescent="0.25">
      <c r="A85" s="55">
        <v>46106</v>
      </c>
      <c r="B85" s="56" t="s">
        <v>44</v>
      </c>
      <c r="C85" s="56">
        <v>3</v>
      </c>
      <c r="D85" s="56">
        <v>0</v>
      </c>
      <c r="E85" s="56">
        <v>0</v>
      </c>
      <c r="F85" s="56">
        <v>0</v>
      </c>
      <c r="G85" s="57">
        <v>3</v>
      </c>
      <c r="H85" s="60"/>
      <c r="I85" s="59"/>
    </row>
    <row r="86" spans="1:9" x14ac:dyDescent="0.25">
      <c r="A86" s="55">
        <v>46107</v>
      </c>
      <c r="B86" s="56" t="s">
        <v>44</v>
      </c>
      <c r="C86" s="56">
        <v>1</v>
      </c>
      <c r="D86" s="56">
        <v>1</v>
      </c>
      <c r="E86" s="56">
        <v>0</v>
      </c>
      <c r="F86" s="56">
        <v>0</v>
      </c>
      <c r="G86" s="57">
        <v>0</v>
      </c>
      <c r="H86" s="60"/>
      <c r="I86" s="59"/>
    </row>
    <row r="87" spans="1:9" x14ac:dyDescent="0.25">
      <c r="A87" s="55">
        <v>46108</v>
      </c>
      <c r="B87" s="56" t="s">
        <v>44</v>
      </c>
      <c r="C87" s="56">
        <v>0</v>
      </c>
      <c r="D87" s="56">
        <v>0</v>
      </c>
      <c r="E87" s="56">
        <v>0</v>
      </c>
      <c r="F87" s="56">
        <v>0</v>
      </c>
      <c r="G87" s="57">
        <v>4</v>
      </c>
      <c r="H87" s="60"/>
      <c r="I87" s="59"/>
    </row>
    <row r="88" spans="1:9" x14ac:dyDescent="0.25">
      <c r="A88" s="55">
        <v>46109</v>
      </c>
      <c r="B88" s="56" t="s">
        <v>44</v>
      </c>
      <c r="C88" s="56">
        <v>4</v>
      </c>
      <c r="D88" s="56">
        <v>0</v>
      </c>
      <c r="E88" s="56">
        <v>0</v>
      </c>
      <c r="F88" s="56">
        <v>0</v>
      </c>
      <c r="G88" s="57">
        <v>3</v>
      </c>
      <c r="H88" s="60"/>
      <c r="I88" s="59"/>
    </row>
    <row r="89" spans="1:9" x14ac:dyDescent="0.25">
      <c r="A89" s="55">
        <v>46110</v>
      </c>
      <c r="B89" s="56" t="s">
        <v>44</v>
      </c>
      <c r="C89" s="56">
        <v>3</v>
      </c>
      <c r="D89" s="56">
        <v>0</v>
      </c>
      <c r="E89" s="56">
        <v>0</v>
      </c>
      <c r="F89" s="56">
        <v>0</v>
      </c>
      <c r="G89" s="57">
        <v>3</v>
      </c>
      <c r="H89" s="61"/>
      <c r="I89" s="59"/>
    </row>
    <row r="90" spans="1:12" x14ac:dyDescent="0.25">
      <c r="A90" s="55">
        <v>46111</v>
      </c>
      <c r="B90" s="56" t="s">
        <v>44</v>
      </c>
      <c r="C90" s="56">
        <v>3</v>
      </c>
      <c r="D90" s="56">
        <v>0</v>
      </c>
      <c r="E90" s="56">
        <v>0</v>
      </c>
      <c r="F90" s="56">
        <v>0</v>
      </c>
      <c r="G90" s="57">
        <v>-1</v>
      </c>
      <c r="H90" s="58">
        <f>SUM(G90:G96)</f>
        <v>41</v>
      </c>
      <c r="I90" s="59"/>
      <c r="L90" s="66"/>
    </row>
    <row r="91" spans="1:12" x14ac:dyDescent="0.25">
      <c r="A91" s="55">
        <v>46112</v>
      </c>
      <c r="B91" s="56" t="s">
        <v>44</v>
      </c>
      <c r="C91" s="56">
        <v>1</v>
      </c>
      <c r="D91" s="56">
        <v>2</v>
      </c>
      <c r="E91" s="56">
        <v>0</v>
      </c>
      <c r="F91" s="56">
        <v>0</v>
      </c>
      <c r="G91" s="57">
        <v>3</v>
      </c>
      <c r="H91" s="60"/>
      <c r="I91" s="59"/>
      <c r="L91" s="66"/>
    </row>
    <row r="92" spans="1:12" x14ac:dyDescent="0.25">
      <c r="A92" s="55">
        <v>46113</v>
      </c>
      <c r="B92" s="56" t="s">
        <v>44</v>
      </c>
      <c r="C92" s="56">
        <v>4</v>
      </c>
      <c r="D92" s="56">
        <v>1</v>
      </c>
      <c r="E92" s="56">
        <v>0</v>
      </c>
      <c r="F92" s="56">
        <v>0</v>
      </c>
      <c r="G92" s="57">
        <v>12</v>
      </c>
      <c r="H92" s="60"/>
      <c r="I92" s="59"/>
      <c r="L92" s="66"/>
    </row>
    <row r="93" spans="1:12" x14ac:dyDescent="0.25">
      <c r="A93" s="55">
        <v>46114</v>
      </c>
      <c r="B93" s="56" t="s">
        <v>44</v>
      </c>
      <c r="C93" s="56">
        <v>13</v>
      </c>
      <c r="D93" s="56">
        <v>1</v>
      </c>
      <c r="E93" s="56">
        <v>0</v>
      </c>
      <c r="F93" s="56">
        <v>0</v>
      </c>
      <c r="G93" s="57">
        <v>1</v>
      </c>
      <c r="H93" s="60"/>
      <c r="I93" s="59"/>
      <c r="L93" s="66"/>
    </row>
    <row r="94" spans="1:12" x14ac:dyDescent="0.25">
      <c r="A94" s="55">
        <v>46115</v>
      </c>
      <c r="B94" s="56" t="s">
        <v>44</v>
      </c>
      <c r="C94" s="56">
        <v>3</v>
      </c>
      <c r="D94" s="56">
        <v>2</v>
      </c>
      <c r="E94" s="56">
        <v>0</v>
      </c>
      <c r="F94" s="56">
        <v>0</v>
      </c>
      <c r="G94" s="57">
        <v>8</v>
      </c>
      <c r="H94" s="60"/>
      <c r="I94" s="59"/>
      <c r="L94" s="66"/>
    </row>
    <row r="95" spans="1:12" x14ac:dyDescent="0.25">
      <c r="A95" s="55">
        <v>46116</v>
      </c>
      <c r="B95" s="56" t="s">
        <v>44</v>
      </c>
      <c r="C95" s="56">
        <v>10</v>
      </c>
      <c r="D95" s="56">
        <v>2</v>
      </c>
      <c r="E95" s="56">
        <v>0</v>
      </c>
      <c r="F95" s="56">
        <v>0</v>
      </c>
      <c r="G95" s="57">
        <v>4</v>
      </c>
      <c r="H95" s="60"/>
      <c r="I95" s="59"/>
      <c r="L95" s="66"/>
    </row>
    <row r="96" spans="1:12" x14ac:dyDescent="0.25">
      <c r="A96" s="55">
        <v>46117</v>
      </c>
      <c r="B96" s="56" t="s">
        <v>44</v>
      </c>
      <c r="C96" s="56">
        <v>6</v>
      </c>
      <c r="D96" s="56">
        <v>2</v>
      </c>
      <c r="E96" s="56">
        <v>0</v>
      </c>
      <c r="F96" s="56">
        <v>0</v>
      </c>
      <c r="G96" s="57">
        <v>14</v>
      </c>
      <c r="H96" s="61"/>
      <c r="I96" s="59"/>
      <c r="L96" s="66"/>
    </row>
    <row r="97" spans="1:9" x14ac:dyDescent="0.25">
      <c r="A97" s="55">
        <v>46118</v>
      </c>
      <c r="B97" s="56" t="s">
        <v>44</v>
      </c>
      <c r="C97" s="56">
        <v>15</v>
      </c>
      <c r="D97" s="56">
        <v>1</v>
      </c>
      <c r="E97" s="56">
        <v>0</v>
      </c>
      <c r="F97" s="56">
        <v>0</v>
      </c>
      <c r="G97" s="57">
        <v>17</v>
      </c>
      <c r="H97" s="58">
        <f>SUM(G97:G103)</f>
        <v>35</v>
      </c>
      <c r="I97" s="59"/>
    </row>
    <row r="98" spans="1:9" x14ac:dyDescent="0.25">
      <c r="A98" s="55">
        <v>46119</v>
      </c>
      <c r="B98" s="56" t="s">
        <v>44</v>
      </c>
      <c r="C98" s="56">
        <v>17</v>
      </c>
      <c r="D98" s="56">
        <v>0</v>
      </c>
      <c r="E98" s="56">
        <v>0</v>
      </c>
      <c r="F98" s="56">
        <v>0</v>
      </c>
      <c r="G98" s="57">
        <v>1</v>
      </c>
      <c r="H98" s="60"/>
      <c r="I98" s="59"/>
    </row>
    <row r="99" spans="1:9" x14ac:dyDescent="0.25">
      <c r="A99" s="55">
        <v>46120</v>
      </c>
      <c r="B99" s="56" t="s">
        <v>44</v>
      </c>
      <c r="C99" s="56">
        <v>2</v>
      </c>
      <c r="D99" s="56">
        <v>1</v>
      </c>
      <c r="E99" s="56">
        <v>0</v>
      </c>
      <c r="F99" s="56">
        <v>0</v>
      </c>
      <c r="G99" s="57">
        <v>9</v>
      </c>
      <c r="H99" s="60"/>
      <c r="I99" s="59"/>
    </row>
    <row r="100" spans="1:9" x14ac:dyDescent="0.25">
      <c r="A100" s="55">
        <v>46121</v>
      </c>
      <c r="B100" s="56" t="s">
        <v>44</v>
      </c>
      <c r="C100" s="56">
        <v>9</v>
      </c>
      <c r="D100" s="56">
        <v>0</v>
      </c>
      <c r="E100" s="56">
        <v>0</v>
      </c>
      <c r="F100" s="56">
        <v>0</v>
      </c>
      <c r="G100" s="57">
        <v>1</v>
      </c>
      <c r="H100" s="60"/>
      <c r="I100" s="59"/>
    </row>
    <row r="101" spans="1:9" x14ac:dyDescent="0.25">
      <c r="A101" s="55">
        <v>46122</v>
      </c>
      <c r="B101" s="56" t="s">
        <v>44</v>
      </c>
      <c r="C101" s="56">
        <v>2</v>
      </c>
      <c r="D101" s="56">
        <v>1</v>
      </c>
      <c r="E101" s="56">
        <v>0</v>
      </c>
      <c r="F101" s="56">
        <v>0</v>
      </c>
      <c r="G101" s="57">
        <v>3</v>
      </c>
      <c r="H101" s="60"/>
      <c r="I101" s="59"/>
    </row>
    <row r="102" spans="1:9" x14ac:dyDescent="0.25">
      <c r="A102" s="55">
        <v>46123</v>
      </c>
      <c r="B102" s="56" t="s">
        <v>44</v>
      </c>
      <c r="C102" s="56">
        <v>3</v>
      </c>
      <c r="D102" s="56">
        <v>0</v>
      </c>
      <c r="E102" s="56">
        <v>0</v>
      </c>
      <c r="F102" s="56">
        <v>0</v>
      </c>
      <c r="G102" s="57">
        <v>2</v>
      </c>
      <c r="H102" s="60"/>
      <c r="I102" s="59"/>
    </row>
    <row r="103" spans="1:9" x14ac:dyDescent="0.25">
      <c r="A103" s="55">
        <v>46124</v>
      </c>
      <c r="B103" s="56" t="s">
        <v>44</v>
      </c>
      <c r="C103" s="56">
        <v>3</v>
      </c>
      <c r="D103" s="56">
        <v>1</v>
      </c>
      <c r="E103" s="56">
        <v>0</v>
      </c>
      <c r="F103" s="56">
        <v>0</v>
      </c>
      <c r="G103" s="57">
        <f t="shared" ref="G103:G130" si="1">SUM(C103,E103,F103-D103)</f>
        <v>2</v>
      </c>
      <c r="H103" s="61"/>
      <c r="I103" s="59"/>
    </row>
    <row r="104" spans="1:9" x14ac:dyDescent="0.25">
      <c r="A104" s="55">
        <v>46125</v>
      </c>
      <c r="B104" s="56" t="s">
        <v>44</v>
      </c>
      <c r="C104" s="62">
        <v>3</v>
      </c>
      <c r="D104" s="62">
        <v>0</v>
      </c>
      <c r="E104" s="62">
        <v>0</v>
      </c>
      <c r="F104" s="62">
        <v>0</v>
      </c>
      <c r="G104" s="57">
        <f t="shared" si="1"/>
        <v>3</v>
      </c>
      <c r="H104" s="58">
        <f>SUM(G104:G110)</f>
        <v>28</v>
      </c>
      <c r="I104" s="59"/>
    </row>
    <row r="105" spans="1:9" x14ac:dyDescent="0.25">
      <c r="A105" s="55">
        <v>46126</v>
      </c>
      <c r="B105" s="56" t="s">
        <v>44</v>
      </c>
      <c r="C105" s="62">
        <v>5</v>
      </c>
      <c r="D105" s="62">
        <v>0</v>
      </c>
      <c r="E105" s="62">
        <v>0</v>
      </c>
      <c r="F105" s="62">
        <v>0</v>
      </c>
      <c r="G105" s="57">
        <f t="shared" si="1"/>
        <v>5</v>
      </c>
      <c r="H105" s="60"/>
      <c r="I105" s="59"/>
    </row>
    <row r="106" spans="1:9" x14ac:dyDescent="0.25">
      <c r="A106" s="55">
        <v>46127</v>
      </c>
      <c r="B106" s="56" t="s">
        <v>44</v>
      </c>
      <c r="C106" s="62">
        <v>11</v>
      </c>
      <c r="D106" s="62">
        <v>2</v>
      </c>
      <c r="E106" s="62">
        <v>0</v>
      </c>
      <c r="F106" s="62">
        <v>0</v>
      </c>
      <c r="G106" s="57">
        <f t="shared" si="1"/>
        <v>9</v>
      </c>
      <c r="H106" s="60"/>
      <c r="I106" s="59"/>
    </row>
    <row r="107" spans="1:9" x14ac:dyDescent="0.25">
      <c r="A107" s="55">
        <v>46128</v>
      </c>
      <c r="B107" s="56" t="s">
        <v>44</v>
      </c>
      <c r="C107" s="62">
        <v>3</v>
      </c>
      <c r="D107" s="62">
        <v>0</v>
      </c>
      <c r="E107" s="62">
        <v>0</v>
      </c>
      <c r="F107" s="62">
        <v>0</v>
      </c>
      <c r="G107" s="57">
        <f t="shared" si="1"/>
        <v>3</v>
      </c>
      <c r="H107" s="60"/>
      <c r="I107" s="59"/>
    </row>
    <row r="108" spans="1:9" x14ac:dyDescent="0.25">
      <c r="A108" s="55">
        <v>46129</v>
      </c>
      <c r="B108" s="56" t="s">
        <v>44</v>
      </c>
      <c r="C108" s="62">
        <v>5</v>
      </c>
      <c r="D108" s="62">
        <v>1</v>
      </c>
      <c r="E108" s="62">
        <v>0</v>
      </c>
      <c r="F108" s="62">
        <v>0</v>
      </c>
      <c r="G108" s="57">
        <f t="shared" si="1"/>
        <v>4</v>
      </c>
      <c r="H108" s="60"/>
      <c r="I108" s="59"/>
    </row>
    <row r="109" spans="1:9" x14ac:dyDescent="0.25">
      <c r="A109" s="55">
        <v>46130</v>
      </c>
      <c r="B109" s="56" t="s">
        <v>44</v>
      </c>
      <c r="C109" s="62">
        <v>1</v>
      </c>
      <c r="D109" s="62">
        <v>0</v>
      </c>
      <c r="E109" s="62">
        <v>0</v>
      </c>
      <c r="F109" s="62">
        <v>0</v>
      </c>
      <c r="G109" s="57">
        <f t="shared" si="1"/>
        <v>1</v>
      </c>
      <c r="H109" s="60"/>
      <c r="I109" s="59"/>
    </row>
    <row r="110" spans="1:9" x14ac:dyDescent="0.25">
      <c r="A110" s="55">
        <v>46131</v>
      </c>
      <c r="B110" s="56" t="s">
        <v>44</v>
      </c>
      <c r="C110" s="56">
        <v>3</v>
      </c>
      <c r="D110" s="56">
        <v>0</v>
      </c>
      <c r="E110" s="56">
        <v>0</v>
      </c>
      <c r="F110" s="56">
        <v>0</v>
      </c>
      <c r="G110" s="57">
        <f t="shared" si="1"/>
        <v>3</v>
      </c>
      <c r="H110" s="61"/>
      <c r="I110" s="59"/>
    </row>
    <row r="111" spans="1:9" x14ac:dyDescent="0.25">
      <c r="A111" s="55">
        <v>46132</v>
      </c>
      <c r="B111" s="56" t="s">
        <v>44</v>
      </c>
      <c r="C111" s="56">
        <v>0</v>
      </c>
      <c r="D111" s="56">
        <v>1</v>
      </c>
      <c r="E111" s="56">
        <v>0</v>
      </c>
      <c r="F111" s="56">
        <v>0</v>
      </c>
      <c r="G111" s="57">
        <f t="shared" si="1"/>
        <v>-1</v>
      </c>
      <c r="H111" s="58">
        <f>SUM(G111:G117)</f>
        <v>26</v>
      </c>
      <c r="I111" s="59"/>
    </row>
    <row r="112" spans="1:9" x14ac:dyDescent="0.25">
      <c r="A112" s="55">
        <v>46133</v>
      </c>
      <c r="B112" s="56" t="s">
        <v>44</v>
      </c>
      <c r="C112" s="56">
        <v>8</v>
      </c>
      <c r="D112" s="56">
        <v>2</v>
      </c>
      <c r="E112" s="56">
        <v>0</v>
      </c>
      <c r="F112" s="56">
        <v>0</v>
      </c>
      <c r="G112" s="57">
        <f t="shared" si="1"/>
        <v>6</v>
      </c>
      <c r="H112" s="60"/>
      <c r="I112" s="59"/>
    </row>
    <row r="113" spans="1:9" x14ac:dyDescent="0.25">
      <c r="A113" s="55">
        <v>46134</v>
      </c>
      <c r="B113" s="56" t="s">
        <v>44</v>
      </c>
      <c r="C113" s="56">
        <v>8</v>
      </c>
      <c r="D113" s="56">
        <v>0</v>
      </c>
      <c r="E113" s="56">
        <v>0</v>
      </c>
      <c r="F113" s="56">
        <v>0</v>
      </c>
      <c r="G113" s="57">
        <f t="shared" si="1"/>
        <v>8</v>
      </c>
      <c r="H113" s="60"/>
      <c r="I113" s="59"/>
    </row>
    <row r="114" spans="1:9" x14ac:dyDescent="0.25">
      <c r="A114" s="55">
        <v>46135</v>
      </c>
      <c r="B114" s="56" t="s">
        <v>44</v>
      </c>
      <c r="C114" s="56">
        <v>6</v>
      </c>
      <c r="D114" s="56">
        <v>1</v>
      </c>
      <c r="E114" s="56">
        <v>0</v>
      </c>
      <c r="F114" s="56">
        <v>0</v>
      </c>
      <c r="G114" s="57">
        <f t="shared" si="1"/>
        <v>5</v>
      </c>
      <c r="H114" s="60"/>
      <c r="I114" s="59"/>
    </row>
    <row r="115" spans="1:9" x14ac:dyDescent="0.25">
      <c r="A115" s="55">
        <v>46136</v>
      </c>
      <c r="B115" s="56" t="s">
        <v>44</v>
      </c>
      <c r="C115" s="56">
        <v>7</v>
      </c>
      <c r="D115" s="56">
        <v>3</v>
      </c>
      <c r="E115" s="56">
        <v>0</v>
      </c>
      <c r="F115" s="56">
        <v>0</v>
      </c>
      <c r="G115" s="57">
        <f t="shared" si="1"/>
        <v>4</v>
      </c>
      <c r="H115" s="60"/>
      <c r="I115" s="59"/>
    </row>
    <row r="116" spans="1:9" x14ac:dyDescent="0.25">
      <c r="A116" s="55">
        <v>46137</v>
      </c>
      <c r="B116" s="56" t="s">
        <v>44</v>
      </c>
      <c r="C116" s="56">
        <v>3</v>
      </c>
      <c r="D116" s="56">
        <v>1</v>
      </c>
      <c r="E116" s="56">
        <v>0</v>
      </c>
      <c r="F116" s="56">
        <v>0</v>
      </c>
      <c r="G116" s="57">
        <f t="shared" si="1"/>
        <v>2</v>
      </c>
      <c r="H116" s="60"/>
      <c r="I116" s="59"/>
    </row>
    <row r="117" spans="1:9" x14ac:dyDescent="0.25">
      <c r="A117" s="55">
        <v>46138</v>
      </c>
      <c r="B117" s="56" t="s">
        <v>44</v>
      </c>
      <c r="C117" s="67">
        <v>2</v>
      </c>
      <c r="D117" s="67">
        <v>0</v>
      </c>
      <c r="E117" s="67">
        <v>0</v>
      </c>
      <c r="F117" s="67">
        <v>0</v>
      </c>
      <c r="G117" s="57">
        <f t="shared" si="1"/>
        <v>2</v>
      </c>
      <c r="H117" s="61"/>
      <c r="I117" s="59"/>
    </row>
    <row r="118" spans="1:9" x14ac:dyDescent="0.25">
      <c r="A118" s="55">
        <v>46139</v>
      </c>
      <c r="B118" s="68" t="s">
        <v>44</v>
      </c>
      <c r="C118" s="69">
        <v>3</v>
      </c>
      <c r="D118" s="69">
        <v>4</v>
      </c>
      <c r="E118" s="69">
        <v>0</v>
      </c>
      <c r="F118" s="69">
        <v>0</v>
      </c>
      <c r="G118" s="70">
        <f t="shared" si="1"/>
        <v>-1</v>
      </c>
      <c r="H118" s="58">
        <f>SUM(G118:G124)</f>
        <v>14</v>
      </c>
      <c r="I118" s="59"/>
    </row>
    <row r="119" spans="1:9" x14ac:dyDescent="0.25">
      <c r="A119" s="55">
        <v>46140</v>
      </c>
      <c r="B119" s="68" t="s">
        <v>44</v>
      </c>
      <c r="C119" s="69">
        <v>2</v>
      </c>
      <c r="D119" s="69">
        <v>0</v>
      </c>
      <c r="E119" s="69">
        <v>0</v>
      </c>
      <c r="F119" s="69">
        <v>0</v>
      </c>
      <c r="G119" s="70">
        <f t="shared" si="1"/>
        <v>2</v>
      </c>
      <c r="H119" s="60"/>
      <c r="I119" s="59"/>
    </row>
    <row r="120" spans="1:9" x14ac:dyDescent="0.25">
      <c r="A120" s="55">
        <v>46141</v>
      </c>
      <c r="B120" s="68" t="s">
        <v>44</v>
      </c>
      <c r="C120" s="69">
        <v>3</v>
      </c>
      <c r="D120" s="69">
        <v>0</v>
      </c>
      <c r="E120" s="69">
        <v>0</v>
      </c>
      <c r="F120" s="69">
        <v>0</v>
      </c>
      <c r="G120" s="70">
        <f t="shared" si="1"/>
        <v>3</v>
      </c>
      <c r="H120" s="60"/>
      <c r="I120" s="59"/>
    </row>
    <row r="121" spans="1:9" x14ac:dyDescent="0.25">
      <c r="A121" s="55">
        <v>46142</v>
      </c>
      <c r="B121" s="68" t="s">
        <v>44</v>
      </c>
      <c r="C121" s="69">
        <v>3</v>
      </c>
      <c r="D121" s="69">
        <v>2</v>
      </c>
      <c r="E121" s="69">
        <v>0</v>
      </c>
      <c r="F121" s="69">
        <v>0</v>
      </c>
      <c r="G121" s="70">
        <f t="shared" si="1"/>
        <v>1</v>
      </c>
      <c r="H121" s="60"/>
      <c r="I121" s="59"/>
    </row>
    <row r="122" spans="1:9" x14ac:dyDescent="0.25">
      <c r="A122" s="55">
        <v>46143</v>
      </c>
      <c r="B122" s="68" t="s">
        <v>44</v>
      </c>
      <c r="C122" s="69">
        <v>8</v>
      </c>
      <c r="D122" s="69">
        <v>2</v>
      </c>
      <c r="E122" s="69">
        <v>0</v>
      </c>
      <c r="F122" s="69">
        <v>0</v>
      </c>
      <c r="G122" s="70">
        <f t="shared" si="1"/>
        <v>6</v>
      </c>
      <c r="H122" s="60"/>
      <c r="I122" s="59"/>
    </row>
    <row r="123" spans="1:9" x14ac:dyDescent="0.25">
      <c r="A123" s="55">
        <v>46144</v>
      </c>
      <c r="B123" s="68" t="s">
        <v>44</v>
      </c>
      <c r="C123" s="69">
        <v>3</v>
      </c>
      <c r="D123" s="69">
        <v>2</v>
      </c>
      <c r="E123" s="69">
        <v>0</v>
      </c>
      <c r="F123" s="69">
        <v>0</v>
      </c>
      <c r="G123" s="70">
        <f t="shared" si="1"/>
        <v>1</v>
      </c>
      <c r="H123" s="60"/>
      <c r="I123" s="59"/>
    </row>
    <row r="124" spans="1:9" x14ac:dyDescent="0.25">
      <c r="A124" s="55">
        <v>46145</v>
      </c>
      <c r="B124" s="56" t="s">
        <v>44</v>
      </c>
      <c r="C124" s="71">
        <v>2</v>
      </c>
      <c r="D124" s="71">
        <v>0</v>
      </c>
      <c r="E124" s="71">
        <v>0</v>
      </c>
      <c r="F124" s="71">
        <v>0</v>
      </c>
      <c r="G124" s="57">
        <f t="shared" si="1"/>
        <v>2</v>
      </c>
      <c r="H124" s="61"/>
      <c r="I124" s="59"/>
    </row>
    <row r="125" spans="1:9" x14ac:dyDescent="0.25">
      <c r="A125" s="55">
        <v>46146</v>
      </c>
      <c r="B125" s="56" t="s">
        <v>44</v>
      </c>
      <c r="C125" s="56">
        <v>0</v>
      </c>
      <c r="D125" s="56">
        <v>0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</row>
    <row r="126" spans="1:9" x14ac:dyDescent="0.25">
      <c r="A126" s="55">
        <v>46147</v>
      </c>
      <c r="B126" s="56" t="s">
        <v>44</v>
      </c>
      <c r="C126" s="56">
        <v>0</v>
      </c>
      <c r="D126" s="56">
        <v>0</v>
      </c>
      <c r="E126" s="56">
        <v>0</v>
      </c>
      <c r="F126" s="56">
        <v>0</v>
      </c>
      <c r="G126" s="57">
        <f t="shared" si="1"/>
        <v>0</v>
      </c>
      <c r="H126" s="60"/>
      <c r="I126" s="59"/>
    </row>
    <row r="127" spans="1:9" x14ac:dyDescent="0.25">
      <c r="A127" s="55">
        <v>46148</v>
      </c>
      <c r="B127" s="56" t="s">
        <v>44</v>
      </c>
      <c r="C127" s="56">
        <v>0</v>
      </c>
      <c r="D127" s="56">
        <v>0</v>
      </c>
      <c r="E127" s="56">
        <v>0</v>
      </c>
      <c r="F127" s="56">
        <v>0</v>
      </c>
      <c r="G127" s="57">
        <f t="shared" si="1"/>
        <v>0</v>
      </c>
      <c r="H127" s="60"/>
      <c r="I127" s="59"/>
    </row>
    <row r="128" spans="1:9" x14ac:dyDescent="0.25">
      <c r="A128" s="55">
        <v>46149</v>
      </c>
      <c r="B128" s="56" t="s">
        <v>44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</row>
    <row r="129" spans="1:9" x14ac:dyDescent="0.25">
      <c r="A129" s="55">
        <v>46150</v>
      </c>
      <c r="B129" s="56" t="s">
        <v>44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</row>
    <row r="130" spans="1:9" x14ac:dyDescent="0.25">
      <c r="A130" s="55">
        <v>46151</v>
      </c>
      <c r="B130" s="56" t="s">
        <v>44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</row>
    <row r="131" spans="1:9" x14ac:dyDescent="0.25">
      <c r="A131" s="55">
        <v>46152</v>
      </c>
      <c r="B131" s="56" t="s">
        <v>44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SUM(C131,E131,F131-D131)</f>
        <v>0</v>
      </c>
      <c r="H131" s="61"/>
      <c r="I131" s="59"/>
    </row>
    <row r="132" spans="1:9" x14ac:dyDescent="0.25">
      <c r="A132" s="55">
        <v>46153</v>
      </c>
      <c r="B132" s="56" t="s">
        <v>44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>SUM(G132:G138)</f>
        <v>0</v>
      </c>
      <c r="I132" s="59"/>
    </row>
    <row r="133" spans="1:9" x14ac:dyDescent="0.25">
      <c r="A133" s="55">
        <v>46154</v>
      </c>
      <c r="B133" s="56" t="s">
        <v>44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</row>
    <row r="134" spans="1:9" x14ac:dyDescent="0.25">
      <c r="A134" s="55">
        <v>46155</v>
      </c>
      <c r="B134" s="56" t="s">
        <v>44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</row>
    <row r="135" spans="1:9" x14ac:dyDescent="0.25">
      <c r="A135" s="55">
        <v>46156</v>
      </c>
      <c r="B135" s="56" t="s">
        <v>44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</row>
    <row r="136" spans="1:9" x14ac:dyDescent="0.25">
      <c r="A136" s="55">
        <v>46157</v>
      </c>
      <c r="B136" s="56" t="s">
        <v>44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</row>
    <row r="137" spans="1:9" x14ac:dyDescent="0.25">
      <c r="A137" s="55">
        <v>46158</v>
      </c>
      <c r="B137" s="56" t="s">
        <v>44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</row>
    <row r="138" spans="1:9" x14ac:dyDescent="0.25">
      <c r="A138" s="55">
        <v>46159</v>
      </c>
      <c r="B138" s="56" t="s">
        <v>44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</row>
    <row r="139" spans="1:9" x14ac:dyDescent="0.25">
      <c r="A139" s="55">
        <v>46160</v>
      </c>
      <c r="B139" s="56" t="s">
        <v>44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>SUM(G139:G145)</f>
        <v>0</v>
      </c>
      <c r="I139" s="59"/>
    </row>
    <row r="140" spans="1:9" x14ac:dyDescent="0.25">
      <c r="A140" s="55">
        <v>46161</v>
      </c>
      <c r="B140" s="56" t="s">
        <v>44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</row>
    <row r="141" spans="1:9" x14ac:dyDescent="0.25">
      <c r="A141" s="55">
        <v>46162</v>
      </c>
      <c r="B141" s="56" t="s">
        <v>44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</row>
    <row r="142" spans="1:9" x14ac:dyDescent="0.25">
      <c r="A142" s="55">
        <v>46163</v>
      </c>
      <c r="B142" s="56" t="s">
        <v>44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</row>
    <row r="143" spans="1:9" x14ac:dyDescent="0.25">
      <c r="A143" s="55">
        <v>46164</v>
      </c>
      <c r="B143" s="56" t="s">
        <v>44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</row>
    <row r="144" spans="1:9" x14ac:dyDescent="0.25">
      <c r="A144" s="55">
        <v>46165</v>
      </c>
      <c r="B144" s="56" t="s">
        <v>44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</row>
    <row r="145" spans="1:9" x14ac:dyDescent="0.25">
      <c r="A145" s="55">
        <v>46166</v>
      </c>
      <c r="B145" s="56" t="s">
        <v>44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</row>
    <row r="146" spans="1:9" x14ac:dyDescent="0.25">
      <c r="A146" s="55">
        <v>46167</v>
      </c>
      <c r="B146" s="56" t="s">
        <v>44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>SUM(G146:G152)</f>
        <v>0</v>
      </c>
      <c r="I146" s="59"/>
    </row>
    <row r="147" spans="1:9" x14ac:dyDescent="0.25">
      <c r="A147" s="55">
        <v>46168</v>
      </c>
      <c r="B147" s="56" t="s">
        <v>44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</row>
    <row r="148" spans="1:9" x14ac:dyDescent="0.25">
      <c r="A148" s="55">
        <v>46169</v>
      </c>
      <c r="B148" s="56" t="s">
        <v>44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</row>
    <row r="149" spans="1:9" x14ac:dyDescent="0.25">
      <c r="A149" s="55">
        <v>46170</v>
      </c>
      <c r="B149" s="56" t="s">
        <v>44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</row>
    <row r="150" spans="1:9" x14ac:dyDescent="0.25">
      <c r="A150" s="55">
        <v>46171</v>
      </c>
      <c r="B150" s="56" t="s">
        <v>44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</row>
    <row r="151" spans="1:9" x14ac:dyDescent="0.25">
      <c r="A151" s="55">
        <v>46172</v>
      </c>
      <c r="B151" s="56" t="s">
        <v>44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</row>
    <row r="152" spans="1:9" x14ac:dyDescent="0.25">
      <c r="A152" s="55">
        <v>46173</v>
      </c>
      <c r="B152" s="56" t="s">
        <v>44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</row>
    <row r="153" spans="1:9" x14ac:dyDescent="0.25">
      <c r="A153" s="55">
        <v>46174</v>
      </c>
      <c r="B153" s="56" t="s">
        <v>44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>SUM(G153:G159)</f>
        <v>0</v>
      </c>
      <c r="I153" s="59"/>
    </row>
    <row r="154" spans="1:9" x14ac:dyDescent="0.25">
      <c r="A154" s="55">
        <v>46175</v>
      </c>
      <c r="B154" s="56" t="s">
        <v>44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</row>
    <row r="155" spans="1:9" x14ac:dyDescent="0.25">
      <c r="A155" s="55">
        <v>46176</v>
      </c>
      <c r="B155" s="56" t="s">
        <v>44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</row>
    <row r="156" spans="1:9" x14ac:dyDescent="0.25">
      <c r="A156" s="55">
        <v>46177</v>
      </c>
      <c r="B156" s="56" t="s">
        <v>44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</row>
    <row r="157" spans="1:9" x14ac:dyDescent="0.25">
      <c r="A157" s="55">
        <v>46178</v>
      </c>
      <c r="B157" s="56" t="s">
        <v>44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</row>
    <row r="158" spans="1:9" x14ac:dyDescent="0.25">
      <c r="A158" s="55">
        <v>46179</v>
      </c>
      <c r="B158" s="56" t="s">
        <v>44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</row>
    <row r="159" spans="1:9" x14ac:dyDescent="0.25">
      <c r="A159" s="55">
        <v>46180</v>
      </c>
      <c r="B159" s="56" t="s">
        <v>44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</row>
    <row r="160" spans="1:9" x14ac:dyDescent="0.25">
      <c r="A160" s="55">
        <v>46181</v>
      </c>
      <c r="B160" s="56" t="s">
        <v>44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>SUM(G160:G166)</f>
        <v>0</v>
      </c>
      <c r="I160" s="59"/>
    </row>
    <row r="161" spans="1:9" x14ac:dyDescent="0.25">
      <c r="A161" s="55">
        <v>46182</v>
      </c>
      <c r="B161" s="56" t="s">
        <v>44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</row>
    <row r="162" spans="1:9" x14ac:dyDescent="0.25">
      <c r="A162" s="55">
        <v>46183</v>
      </c>
      <c r="B162" s="56" t="s">
        <v>44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</row>
    <row r="163" spans="1:9" x14ac:dyDescent="0.25">
      <c r="A163" s="55">
        <v>46184</v>
      </c>
      <c r="B163" s="56" t="s">
        <v>44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</row>
    <row r="164" spans="1:9" x14ac:dyDescent="0.25">
      <c r="A164" s="55">
        <v>46185</v>
      </c>
      <c r="B164" s="56" t="s">
        <v>44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</row>
    <row r="165" spans="1:9" x14ac:dyDescent="0.25">
      <c r="A165" s="55">
        <v>46186</v>
      </c>
      <c r="B165" s="56" t="s">
        <v>44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</row>
    <row r="166" spans="1:9" x14ac:dyDescent="0.25">
      <c r="A166" s="55">
        <v>46187</v>
      </c>
      <c r="B166" s="56" t="s">
        <v>44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</row>
    <row r="167" spans="1:9" x14ac:dyDescent="0.25">
      <c r="A167" s="55">
        <v>46188</v>
      </c>
      <c r="B167" s="56" t="s">
        <v>44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>SUM(G167:G173)</f>
        <v>0</v>
      </c>
      <c r="I167" s="59"/>
    </row>
    <row r="168" spans="1:9" x14ac:dyDescent="0.25">
      <c r="A168" s="55">
        <v>46189</v>
      </c>
      <c r="B168" s="56" t="s">
        <v>44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</row>
    <row r="169" spans="1:9" x14ac:dyDescent="0.25">
      <c r="A169" s="55">
        <v>46190</v>
      </c>
      <c r="B169" s="56" t="s">
        <v>44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</row>
    <row r="170" spans="1:9" x14ac:dyDescent="0.25">
      <c r="A170" s="55">
        <v>46191</v>
      </c>
      <c r="B170" s="56" t="s">
        <v>44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</row>
    <row r="171" spans="1:9" x14ac:dyDescent="0.25">
      <c r="A171" s="55">
        <v>46192</v>
      </c>
      <c r="B171" s="56" t="s">
        <v>44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</row>
    <row r="172" spans="1:9" x14ac:dyDescent="0.25">
      <c r="A172" s="55">
        <v>46193</v>
      </c>
      <c r="B172" s="56" t="s">
        <v>44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</row>
    <row r="173" spans="1:9" x14ac:dyDescent="0.25">
      <c r="A173" s="55">
        <v>46194</v>
      </c>
      <c r="B173" s="56" t="s">
        <v>44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</row>
    <row r="174" spans="1:9" x14ac:dyDescent="0.25">
      <c r="A174" s="55">
        <v>46195</v>
      </c>
      <c r="B174" s="56" t="s">
        <v>44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>SUM(G174:G180)</f>
        <v>0</v>
      </c>
      <c r="I174" s="59"/>
    </row>
    <row r="175" spans="1:9" x14ac:dyDescent="0.25">
      <c r="A175" s="55">
        <v>46196</v>
      </c>
      <c r="B175" s="56" t="s">
        <v>44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</row>
    <row r="176" spans="1:9" x14ac:dyDescent="0.25">
      <c r="A176" s="55">
        <v>46197</v>
      </c>
      <c r="B176" s="56" t="s">
        <v>44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</row>
    <row r="177" spans="1:9" x14ac:dyDescent="0.25">
      <c r="A177" s="55">
        <v>46198</v>
      </c>
      <c r="B177" s="56" t="s">
        <v>44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</row>
    <row r="178" spans="1:9" x14ac:dyDescent="0.25">
      <c r="A178" s="55">
        <v>46199</v>
      </c>
      <c r="B178" s="56" t="s">
        <v>44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</row>
    <row r="179" spans="1:9" x14ac:dyDescent="0.25">
      <c r="A179" s="55">
        <v>46200</v>
      </c>
      <c r="B179" s="56" t="s">
        <v>44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</row>
    <row r="180" spans="1:9" x14ac:dyDescent="0.25">
      <c r="A180" s="55">
        <v>46201</v>
      </c>
      <c r="B180" s="56" t="s">
        <v>44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</row>
    <row r="181" spans="1:9" x14ac:dyDescent="0.25">
      <c r="A181" s="55">
        <v>46202</v>
      </c>
      <c r="B181" s="56" t="s">
        <v>44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>SUM(G181:G187)</f>
        <v>0</v>
      </c>
      <c r="I181" s="59"/>
    </row>
    <row r="182" spans="1:9" x14ac:dyDescent="0.25">
      <c r="A182" s="55">
        <v>46203</v>
      </c>
      <c r="B182" s="56" t="s">
        <v>44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</row>
    <row r="183" spans="1:9" x14ac:dyDescent="0.25">
      <c r="A183" s="55">
        <v>46204</v>
      </c>
      <c r="B183" s="56" t="s">
        <v>44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</row>
    <row r="184" spans="1:9" x14ac:dyDescent="0.25">
      <c r="A184" s="55">
        <v>46205</v>
      </c>
      <c r="B184" s="56" t="s">
        <v>44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</row>
    <row r="185" spans="1:9" x14ac:dyDescent="0.25">
      <c r="A185" s="55">
        <v>46206</v>
      </c>
      <c r="B185" s="56" t="s">
        <v>44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</row>
    <row r="186" spans="1:9" x14ac:dyDescent="0.25">
      <c r="A186" s="55">
        <v>46207</v>
      </c>
      <c r="B186" s="56" t="s">
        <v>44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</row>
    <row r="187" spans="1:9" x14ac:dyDescent="0.25">
      <c r="A187" s="55">
        <v>46208</v>
      </c>
      <c r="B187" s="56" t="s">
        <v>44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</row>
    <row r="188" spans="1:9" x14ac:dyDescent="0.25">
      <c r="A188" s="55">
        <v>46209</v>
      </c>
      <c r="B188" s="56" t="s">
        <v>44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>SUM(G188:G194)</f>
        <v>0</v>
      </c>
      <c r="I188" s="59"/>
    </row>
    <row r="189" spans="1:9" x14ac:dyDescent="0.25">
      <c r="A189" s="55">
        <v>46210</v>
      </c>
      <c r="B189" s="56" t="s">
        <v>44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</row>
    <row r="190" spans="1:9" x14ac:dyDescent="0.25">
      <c r="A190" s="55">
        <v>46211</v>
      </c>
      <c r="B190" s="56" t="s">
        <v>44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</row>
    <row r="191" spans="1:9" x14ac:dyDescent="0.25">
      <c r="A191" s="55">
        <v>46212</v>
      </c>
      <c r="B191" s="56" t="s">
        <v>44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</row>
    <row r="192" spans="1:9" x14ac:dyDescent="0.25">
      <c r="A192" s="55">
        <v>46213</v>
      </c>
      <c r="B192" s="56" t="s">
        <v>44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</row>
    <row r="193" spans="1:9" x14ac:dyDescent="0.25">
      <c r="A193" s="55">
        <v>46214</v>
      </c>
      <c r="B193" s="56" t="s">
        <v>44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</row>
    <row r="194" spans="1:9" x14ac:dyDescent="0.25">
      <c r="A194" s="55">
        <v>46215</v>
      </c>
      <c r="B194" s="56" t="s">
        <v>44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</row>
    <row r="195" spans="1:9" x14ac:dyDescent="0.25">
      <c r="A195" s="55">
        <v>46216</v>
      </c>
      <c r="B195" s="56" t="s">
        <v>44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3">SUM(C195,E195,F195-D195)</f>
        <v>0</v>
      </c>
      <c r="H195" s="58">
        <f>SUM(G195:G201)</f>
        <v>0</v>
      </c>
      <c r="I195" s="59"/>
    </row>
    <row r="196" spans="1:9" x14ac:dyDescent="0.25">
      <c r="A196" s="55">
        <v>46217</v>
      </c>
      <c r="B196" s="56" t="s">
        <v>44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3"/>
        <v>0</v>
      </c>
      <c r="H196" s="60"/>
      <c r="I196" s="59"/>
    </row>
    <row r="197" spans="1:9" x14ac:dyDescent="0.25">
      <c r="A197" s="55">
        <v>46218</v>
      </c>
      <c r="B197" s="56" t="s">
        <v>44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3"/>
        <v>0</v>
      </c>
      <c r="H197" s="60"/>
      <c r="I197" s="59"/>
    </row>
    <row r="198" spans="1:9" x14ac:dyDescent="0.25">
      <c r="A198" s="55">
        <v>46219</v>
      </c>
      <c r="B198" s="56" t="s">
        <v>44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3"/>
        <v>0</v>
      </c>
      <c r="H198" s="60"/>
      <c r="I198" s="59"/>
    </row>
    <row r="199" spans="1:9" x14ac:dyDescent="0.25">
      <c r="A199" s="55">
        <v>46220</v>
      </c>
      <c r="B199" s="56" t="s">
        <v>44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3"/>
        <v>0</v>
      </c>
      <c r="H199" s="60"/>
      <c r="I199" s="59"/>
    </row>
    <row r="200" spans="1:9" x14ac:dyDescent="0.25">
      <c r="A200" s="55">
        <v>46221</v>
      </c>
      <c r="B200" s="56" t="s">
        <v>44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3"/>
        <v>0</v>
      </c>
      <c r="H200" s="60"/>
      <c r="I200" s="59"/>
    </row>
    <row r="201" spans="1:9" x14ac:dyDescent="0.25">
      <c r="A201" s="55">
        <v>46222</v>
      </c>
      <c r="B201" s="56" t="s">
        <v>44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3"/>
        <v>0</v>
      </c>
      <c r="H201" s="61"/>
      <c r="I201" s="59"/>
    </row>
    <row r="202" spans="1:9" x14ac:dyDescent="0.25">
      <c r="A202" s="55">
        <v>46223</v>
      </c>
      <c r="B202" s="56" t="s">
        <v>44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3"/>
        <v>0</v>
      </c>
      <c r="H202" s="58">
        <f>SUM(G202:G208)</f>
        <v>0</v>
      </c>
      <c r="I202" s="59"/>
    </row>
    <row r="203" spans="1:9" x14ac:dyDescent="0.25">
      <c r="A203" s="55">
        <v>46224</v>
      </c>
      <c r="B203" s="56" t="s">
        <v>44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3"/>
        <v>0</v>
      </c>
      <c r="H203" s="60"/>
      <c r="I203" s="59"/>
    </row>
    <row r="204" spans="1:9" x14ac:dyDescent="0.25">
      <c r="A204" s="55">
        <v>46225</v>
      </c>
      <c r="B204" s="56" t="s">
        <v>44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3"/>
        <v>0</v>
      </c>
      <c r="H204" s="60"/>
      <c r="I204" s="59"/>
    </row>
    <row r="205" spans="1:9" x14ac:dyDescent="0.25">
      <c r="A205" s="55">
        <v>46226</v>
      </c>
      <c r="B205" s="56" t="s">
        <v>44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3"/>
        <v>0</v>
      </c>
      <c r="H205" s="60"/>
      <c r="I205" s="59"/>
    </row>
    <row r="206" spans="1:9" x14ac:dyDescent="0.25">
      <c r="A206" s="55">
        <v>46227</v>
      </c>
      <c r="B206" s="56" t="s">
        <v>44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3"/>
        <v>0</v>
      </c>
      <c r="H206" s="60"/>
      <c r="I206" s="59"/>
    </row>
    <row r="207" spans="1:9" x14ac:dyDescent="0.25">
      <c r="A207" s="55">
        <v>46228</v>
      </c>
      <c r="B207" s="56" t="s">
        <v>44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3"/>
        <v>0</v>
      </c>
      <c r="H207" s="60"/>
      <c r="I207" s="59"/>
    </row>
    <row r="208" spans="1:9" x14ac:dyDescent="0.25">
      <c r="A208" s="55">
        <v>46229</v>
      </c>
      <c r="B208" s="56" t="s">
        <v>44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3"/>
        <v>0</v>
      </c>
      <c r="H208" s="61"/>
      <c r="I208" s="59"/>
    </row>
    <row r="209" spans="1:9" x14ac:dyDescent="0.25">
      <c r="A209" s="55">
        <v>46230</v>
      </c>
      <c r="B209" s="56" t="s">
        <v>44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3"/>
        <v>0</v>
      </c>
      <c r="H209" s="58">
        <f>SUM(G209:G215)</f>
        <v>0</v>
      </c>
      <c r="I209" s="59"/>
    </row>
    <row r="210" spans="1:9" x14ac:dyDescent="0.25">
      <c r="A210" s="55">
        <v>46231</v>
      </c>
      <c r="B210" s="56" t="s">
        <v>44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3"/>
        <v>0</v>
      </c>
      <c r="H210" s="60"/>
      <c r="I210" s="59"/>
    </row>
    <row r="211" spans="1:9" x14ac:dyDescent="0.25">
      <c r="A211" s="55">
        <v>46232</v>
      </c>
      <c r="B211" s="56" t="s">
        <v>44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3"/>
        <v>0</v>
      </c>
      <c r="H211" s="60"/>
      <c r="I211" s="59"/>
    </row>
    <row r="212" spans="1:9" x14ac:dyDescent="0.25">
      <c r="A212" s="55">
        <v>46233</v>
      </c>
      <c r="B212" s="56" t="s">
        <v>44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3"/>
        <v>0</v>
      </c>
      <c r="H212" s="60"/>
      <c r="I212" s="59"/>
    </row>
    <row r="213" spans="1:9" x14ac:dyDescent="0.25">
      <c r="A213" s="55">
        <v>46234</v>
      </c>
      <c r="B213" s="56" t="s">
        <v>44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3"/>
        <v>0</v>
      </c>
      <c r="H213" s="60"/>
      <c r="I213" s="59"/>
    </row>
    <row r="214" spans="1:9" x14ac:dyDescent="0.25">
      <c r="A214" s="55">
        <v>46235</v>
      </c>
      <c r="B214" s="56" t="s">
        <v>44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3"/>
        <v>0</v>
      </c>
      <c r="H214" s="60"/>
      <c r="I214" s="59"/>
    </row>
    <row r="215" spans="1:9" x14ac:dyDescent="0.25">
      <c r="A215" s="55">
        <v>46236</v>
      </c>
      <c r="B215" s="56" t="s">
        <v>44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3"/>
        <v>0</v>
      </c>
      <c r="H215" s="61"/>
      <c r="I215" s="59"/>
    </row>
    <row r="216" spans="1:9" x14ac:dyDescent="0.25">
      <c r="A216" s="55">
        <v>46237</v>
      </c>
      <c r="B216" s="56" t="s">
        <v>44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3"/>
        <v>0</v>
      </c>
      <c r="H216" s="58">
        <f>SUM(G216:G222)</f>
        <v>0</v>
      </c>
      <c r="I216" s="59"/>
    </row>
    <row r="217" spans="1:9" x14ac:dyDescent="0.25">
      <c r="A217" s="55">
        <v>46238</v>
      </c>
      <c r="B217" s="56" t="s">
        <v>44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3"/>
        <v>0</v>
      </c>
      <c r="H217" s="60"/>
      <c r="I217" s="59"/>
    </row>
    <row r="218" spans="1:9" x14ac:dyDescent="0.25">
      <c r="A218" s="55">
        <v>46239</v>
      </c>
      <c r="B218" s="56" t="s">
        <v>44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3"/>
        <v>0</v>
      </c>
      <c r="H218" s="60"/>
      <c r="I218" s="59"/>
    </row>
    <row r="219" spans="1:9" x14ac:dyDescent="0.25">
      <c r="A219" s="55">
        <v>46240</v>
      </c>
      <c r="B219" s="56" t="s">
        <v>44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3"/>
        <v>0</v>
      </c>
      <c r="H219" s="60"/>
      <c r="I219" s="59"/>
    </row>
    <row r="220" spans="1:9" x14ac:dyDescent="0.25">
      <c r="A220" s="55">
        <v>46241</v>
      </c>
      <c r="B220" s="56" t="s">
        <v>44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3"/>
        <v>0</v>
      </c>
      <c r="H220" s="60"/>
      <c r="I220" s="59"/>
    </row>
    <row r="221" spans="1:9" x14ac:dyDescent="0.25">
      <c r="A221" s="55">
        <v>46242</v>
      </c>
      <c r="B221" s="56" t="s">
        <v>44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3"/>
        <v>0</v>
      </c>
      <c r="H221" s="60"/>
      <c r="I221" s="59"/>
    </row>
    <row r="222" spans="1:9" x14ac:dyDescent="0.25">
      <c r="A222" s="55">
        <v>46243</v>
      </c>
      <c r="B222" s="56" t="s">
        <v>44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3"/>
        <v>0</v>
      </c>
      <c r="H222" s="61"/>
      <c r="I222" s="59"/>
    </row>
    <row r="223" spans="1:9" x14ac:dyDescent="0.25">
      <c r="A223" s="55">
        <v>46244</v>
      </c>
      <c r="B223" s="56" t="s">
        <v>44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3"/>
        <v>0</v>
      </c>
      <c r="H223" s="58">
        <f>SUM(G223:G229)</f>
        <v>0</v>
      </c>
      <c r="I223" s="59"/>
    </row>
    <row r="224" spans="1:9" x14ac:dyDescent="0.25">
      <c r="A224" s="55">
        <v>46245</v>
      </c>
      <c r="B224" s="56" t="s">
        <v>44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3"/>
        <v>0</v>
      </c>
      <c r="H224" s="60"/>
      <c r="I224" s="59"/>
    </row>
    <row r="225" spans="1:9" x14ac:dyDescent="0.25">
      <c r="A225" s="55">
        <v>46246</v>
      </c>
      <c r="B225" s="56" t="s">
        <v>44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3"/>
        <v>0</v>
      </c>
      <c r="H225" s="60"/>
      <c r="I225" s="59"/>
    </row>
    <row r="226" spans="1:9" x14ac:dyDescent="0.25">
      <c r="A226" s="55">
        <v>46247</v>
      </c>
      <c r="B226" s="56" t="s">
        <v>44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3"/>
        <v>0</v>
      </c>
      <c r="H226" s="60"/>
      <c r="I226" s="59"/>
    </row>
    <row r="227" spans="1:9" x14ac:dyDescent="0.25">
      <c r="A227" s="55">
        <v>46248</v>
      </c>
      <c r="B227" s="56" t="s">
        <v>44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3"/>
        <v>0</v>
      </c>
      <c r="H227" s="60"/>
      <c r="I227" s="59"/>
    </row>
    <row r="228" spans="1:9" x14ac:dyDescent="0.25">
      <c r="A228" s="55">
        <v>46249</v>
      </c>
      <c r="B228" s="56" t="s">
        <v>44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3"/>
        <v>0</v>
      </c>
      <c r="H228" s="60"/>
      <c r="I228" s="59"/>
    </row>
    <row r="229" spans="1:9" x14ac:dyDescent="0.25">
      <c r="A229" s="55">
        <v>46250</v>
      </c>
      <c r="B229" s="56" t="s">
        <v>44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3"/>
        <v>0</v>
      </c>
      <c r="H229" s="61"/>
      <c r="I229" s="59"/>
    </row>
    <row r="230" spans="1:9" x14ac:dyDescent="0.25">
      <c r="A230" s="55">
        <v>46251</v>
      </c>
      <c r="B230" s="56" t="s">
        <v>44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3"/>
        <v>0</v>
      </c>
      <c r="H230" s="58">
        <f>SUM(G230:G236)</f>
        <v>0</v>
      </c>
      <c r="I230" s="59"/>
    </row>
    <row r="231" spans="1:9" x14ac:dyDescent="0.25">
      <c r="A231" s="55">
        <v>46252</v>
      </c>
      <c r="B231" s="56" t="s">
        <v>44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3"/>
        <v>0</v>
      </c>
      <c r="H231" s="60"/>
      <c r="I231" s="59"/>
    </row>
    <row r="232" spans="1:9" x14ac:dyDescent="0.25">
      <c r="A232" s="55">
        <v>46253</v>
      </c>
      <c r="B232" s="56" t="s">
        <v>44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3"/>
        <v>0</v>
      </c>
      <c r="H232" s="60"/>
      <c r="I232" s="59"/>
    </row>
    <row r="233" spans="1:9" x14ac:dyDescent="0.25">
      <c r="A233" s="55">
        <v>46254</v>
      </c>
      <c r="B233" s="56" t="s">
        <v>44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3"/>
        <v>0</v>
      </c>
      <c r="H233" s="60"/>
      <c r="I233" s="59"/>
    </row>
    <row r="234" spans="1:9" x14ac:dyDescent="0.25">
      <c r="A234" s="55">
        <v>46255</v>
      </c>
      <c r="B234" s="56" t="s">
        <v>44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3"/>
        <v>0</v>
      </c>
      <c r="H234" s="60"/>
      <c r="I234" s="59"/>
    </row>
    <row r="235" spans="1:9" x14ac:dyDescent="0.25">
      <c r="A235" s="55">
        <v>46256</v>
      </c>
      <c r="B235" s="56" t="s">
        <v>44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3"/>
        <v>0</v>
      </c>
      <c r="H235" s="60"/>
      <c r="I235" s="59"/>
    </row>
    <row r="236" spans="1:9" x14ac:dyDescent="0.25">
      <c r="A236" s="55">
        <v>46257</v>
      </c>
      <c r="B236" s="56" t="s">
        <v>44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3"/>
        <v>0</v>
      </c>
      <c r="H236" s="61"/>
      <c r="I236" s="59"/>
    </row>
    <row r="237" spans="1:9" x14ac:dyDescent="0.25">
      <c r="A237" s="55">
        <v>46258</v>
      </c>
      <c r="B237" s="56" t="s">
        <v>44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3"/>
        <v>0</v>
      </c>
      <c r="H237" s="58">
        <f>SUM(G237:G243)</f>
        <v>0</v>
      </c>
      <c r="I237" s="59"/>
    </row>
    <row r="238" spans="1:9" x14ac:dyDescent="0.25">
      <c r="A238" s="55">
        <v>46259</v>
      </c>
      <c r="B238" s="56" t="s">
        <v>44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3"/>
        <v>0</v>
      </c>
      <c r="H238" s="60"/>
      <c r="I238" s="59"/>
    </row>
    <row r="239" spans="1:9" x14ac:dyDescent="0.25">
      <c r="A239" s="55">
        <v>46260</v>
      </c>
      <c r="B239" s="56" t="s">
        <v>44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3"/>
        <v>0</v>
      </c>
      <c r="H239" s="60"/>
      <c r="I239" s="59"/>
    </row>
    <row r="240" spans="1:9" x14ac:dyDescent="0.25">
      <c r="A240" s="55">
        <v>46261</v>
      </c>
      <c r="B240" s="56" t="s">
        <v>44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3"/>
        <v>0</v>
      </c>
      <c r="H240" s="60"/>
      <c r="I240" s="59"/>
    </row>
    <row r="241" spans="1:9" x14ac:dyDescent="0.25">
      <c r="A241" s="55">
        <v>46262</v>
      </c>
      <c r="B241" s="56" t="s">
        <v>44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3"/>
        <v>0</v>
      </c>
      <c r="H241" s="60"/>
      <c r="I241" s="59"/>
    </row>
    <row r="242" spans="1:9" x14ac:dyDescent="0.25">
      <c r="A242" s="55">
        <v>46263</v>
      </c>
      <c r="B242" s="56" t="s">
        <v>44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3"/>
        <v>0</v>
      </c>
      <c r="H242" s="60"/>
      <c r="I242" s="59"/>
    </row>
    <row r="243" spans="1:9" x14ac:dyDescent="0.25">
      <c r="A243" s="55">
        <v>46264</v>
      </c>
      <c r="B243" s="56" t="s">
        <v>44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3"/>
        <v>0</v>
      </c>
      <c r="H243" s="61"/>
      <c r="I243" s="59"/>
    </row>
    <row r="244" spans="1:9" x14ac:dyDescent="0.25">
      <c r="A244" s="55">
        <v>46265</v>
      </c>
      <c r="B244" s="56" t="s">
        <v>44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3"/>
        <v>0</v>
      </c>
      <c r="H244" s="58">
        <f>SUM(G244:G250)</f>
        <v>0</v>
      </c>
      <c r="I244" s="59"/>
    </row>
    <row r="245" spans="1:9" x14ac:dyDescent="0.25">
      <c r="A245" s="55">
        <v>46266</v>
      </c>
      <c r="B245" s="56" t="s">
        <v>44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3"/>
        <v>0</v>
      </c>
      <c r="H245" s="60"/>
      <c r="I245" s="59"/>
    </row>
    <row r="246" spans="1:9" x14ac:dyDescent="0.25">
      <c r="A246" s="55">
        <v>46267</v>
      </c>
      <c r="B246" s="56" t="s">
        <v>44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3"/>
        <v>0</v>
      </c>
      <c r="H246" s="60"/>
      <c r="I246" s="59"/>
    </row>
    <row r="247" spans="1:9" x14ac:dyDescent="0.25">
      <c r="A247" s="55">
        <v>46268</v>
      </c>
      <c r="B247" s="56" t="s">
        <v>44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3"/>
        <v>0</v>
      </c>
      <c r="H247" s="60"/>
      <c r="I247" s="59"/>
    </row>
    <row r="248" spans="1:9" x14ac:dyDescent="0.25">
      <c r="A248" s="55">
        <v>46269</v>
      </c>
      <c r="B248" s="56" t="s">
        <v>44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3"/>
        <v>0</v>
      </c>
      <c r="H248" s="60"/>
      <c r="I248" s="59"/>
    </row>
    <row r="249" spans="1:9" x14ac:dyDescent="0.25">
      <c r="A249" s="55">
        <v>46270</v>
      </c>
      <c r="B249" s="56" t="s">
        <v>44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3"/>
        <v>0</v>
      </c>
      <c r="H249" s="60"/>
      <c r="I249" s="59"/>
    </row>
    <row r="250" spans="1:9" x14ac:dyDescent="0.25">
      <c r="A250" s="55">
        <v>46271</v>
      </c>
      <c r="B250" s="56" t="s">
        <v>44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3"/>
        <v>0</v>
      </c>
      <c r="H250" s="61"/>
      <c r="I250" s="59"/>
    </row>
    <row r="251" spans="1:9" x14ac:dyDescent="0.25">
      <c r="A251" s="55">
        <v>46272</v>
      </c>
      <c r="B251" s="56" t="s">
        <v>44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3"/>
        <v>0</v>
      </c>
      <c r="H251" s="58">
        <f>SUM(G251:G257)</f>
        <v>0</v>
      </c>
      <c r="I251" s="59"/>
    </row>
    <row r="252" spans="1:9" x14ac:dyDescent="0.25">
      <c r="A252" s="55">
        <v>46273</v>
      </c>
      <c r="B252" s="56" t="s">
        <v>44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3"/>
        <v>0</v>
      </c>
      <c r="H252" s="60"/>
      <c r="I252" s="59"/>
    </row>
    <row r="253" spans="1:9" x14ac:dyDescent="0.25">
      <c r="A253" s="55">
        <v>46274</v>
      </c>
      <c r="B253" s="56" t="s">
        <v>44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3"/>
        <v>0</v>
      </c>
      <c r="H253" s="60"/>
      <c r="I253" s="59"/>
    </row>
    <row r="254" spans="1:9" x14ac:dyDescent="0.25">
      <c r="A254" s="55">
        <v>46275</v>
      </c>
      <c r="B254" s="56" t="s">
        <v>44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3"/>
        <v>0</v>
      </c>
      <c r="H254" s="60"/>
      <c r="I254" s="59"/>
    </row>
    <row r="255" spans="1:9" x14ac:dyDescent="0.25">
      <c r="A255" s="55">
        <v>46276</v>
      </c>
      <c r="B255" s="56" t="s">
        <v>44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3"/>
        <v>0</v>
      </c>
      <c r="H255" s="60"/>
      <c r="I255" s="59"/>
    </row>
    <row r="256" spans="1:9" x14ac:dyDescent="0.25">
      <c r="A256" s="55">
        <v>46277</v>
      </c>
      <c r="B256" s="56" t="s">
        <v>44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3"/>
        <v>0</v>
      </c>
      <c r="H256" s="60"/>
      <c r="I256" s="59"/>
    </row>
    <row r="257" spans="1:9" x14ac:dyDescent="0.25">
      <c r="A257" s="55">
        <v>46278</v>
      </c>
      <c r="B257" s="56" t="s">
        <v>44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3"/>
        <v>0</v>
      </c>
      <c r="H257" s="61"/>
      <c r="I257" s="59"/>
    </row>
    <row r="258" spans="1:9" x14ac:dyDescent="0.25">
      <c r="A258" s="55">
        <v>46279</v>
      </c>
      <c r="B258" s="56" t="s">
        <v>44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3"/>
        <v>0</v>
      </c>
      <c r="H258" s="58">
        <f>SUM(G258:G264)</f>
        <v>0</v>
      </c>
      <c r="I258" s="59"/>
    </row>
    <row r="259" spans="1:9" x14ac:dyDescent="0.25">
      <c r="A259" s="55">
        <v>46280</v>
      </c>
      <c r="B259" s="56" t="s">
        <v>44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4">SUM(C259,E259,F259-D259)</f>
        <v>0</v>
      </c>
      <c r="H259" s="60"/>
      <c r="I259" s="59"/>
    </row>
    <row r="260" spans="1:9" x14ac:dyDescent="0.25">
      <c r="A260" s="55">
        <v>46281</v>
      </c>
      <c r="B260" s="56" t="s">
        <v>44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4"/>
        <v>0</v>
      </c>
      <c r="H260" s="60"/>
      <c r="I260" s="59"/>
    </row>
    <row r="261" spans="1:9" x14ac:dyDescent="0.25">
      <c r="A261" s="55">
        <v>46282</v>
      </c>
      <c r="B261" s="56" t="s">
        <v>44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4"/>
        <v>0</v>
      </c>
      <c r="H261" s="60"/>
      <c r="I261" s="59"/>
    </row>
    <row r="262" spans="1:9" x14ac:dyDescent="0.25">
      <c r="A262" s="55">
        <v>46283</v>
      </c>
      <c r="B262" s="56" t="s">
        <v>44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4"/>
        <v>0</v>
      </c>
      <c r="H262" s="60"/>
      <c r="I262" s="59"/>
    </row>
    <row r="263" spans="1:9" x14ac:dyDescent="0.25">
      <c r="A263" s="55">
        <v>46284</v>
      </c>
      <c r="B263" s="56" t="s">
        <v>44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4"/>
        <v>0</v>
      </c>
      <c r="H263" s="60"/>
      <c r="I263" s="59"/>
    </row>
    <row r="264" spans="1:9" x14ac:dyDescent="0.25">
      <c r="A264" s="55">
        <v>46285</v>
      </c>
      <c r="B264" s="56" t="s">
        <v>44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4"/>
        <v>0</v>
      </c>
      <c r="H264" s="61"/>
      <c r="I264" s="59"/>
    </row>
    <row r="265" spans="1:9" x14ac:dyDescent="0.25">
      <c r="A265" s="55">
        <v>46286</v>
      </c>
      <c r="B265" s="56" t="s">
        <v>44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4"/>
        <v>0</v>
      </c>
      <c r="H265" s="58">
        <f>SUM(G265:G271)</f>
        <v>0</v>
      </c>
      <c r="I265" s="59"/>
    </row>
    <row r="266" spans="1:9" x14ac:dyDescent="0.25">
      <c r="A266" s="55">
        <v>46287</v>
      </c>
      <c r="B266" s="56" t="s">
        <v>44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4"/>
        <v>0</v>
      </c>
      <c r="H266" s="60"/>
      <c r="I266" s="59"/>
    </row>
    <row r="267" spans="1:9" x14ac:dyDescent="0.25">
      <c r="A267" s="55">
        <v>46288</v>
      </c>
      <c r="B267" s="56" t="s">
        <v>44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4"/>
        <v>0</v>
      </c>
      <c r="H267" s="60"/>
      <c r="I267" s="59"/>
    </row>
    <row r="268" spans="1:9" x14ac:dyDescent="0.25">
      <c r="A268" s="55">
        <v>46289</v>
      </c>
      <c r="B268" s="56" t="s">
        <v>44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4"/>
        <v>0</v>
      </c>
      <c r="H268" s="60"/>
      <c r="I268" s="59"/>
    </row>
    <row r="269" spans="1:9" x14ac:dyDescent="0.25">
      <c r="A269" s="55">
        <v>46290</v>
      </c>
      <c r="B269" s="56" t="s">
        <v>44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4"/>
        <v>0</v>
      </c>
      <c r="H269" s="60"/>
      <c r="I269" s="59"/>
    </row>
    <row r="270" spans="1:9" x14ac:dyDescent="0.25">
      <c r="A270" s="55">
        <v>46291</v>
      </c>
      <c r="B270" s="56" t="s">
        <v>44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4"/>
        <v>0</v>
      </c>
      <c r="H270" s="60"/>
      <c r="I270" s="59"/>
    </row>
    <row r="271" spans="1:9" x14ac:dyDescent="0.25">
      <c r="A271" s="55">
        <v>46292</v>
      </c>
      <c r="B271" s="56" t="s">
        <v>44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4"/>
        <v>0</v>
      </c>
      <c r="H271" s="61"/>
      <c r="I271" s="59"/>
    </row>
    <row r="272" spans="1:9" x14ac:dyDescent="0.25">
      <c r="A272" s="55">
        <v>46293</v>
      </c>
      <c r="B272" s="56" t="s">
        <v>44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4"/>
        <v>0</v>
      </c>
      <c r="H272" s="58">
        <f>SUM(G272:G278)</f>
        <v>0</v>
      </c>
      <c r="I272" s="59"/>
    </row>
    <row r="273" spans="1:9" x14ac:dyDescent="0.25">
      <c r="A273" s="55">
        <v>46294</v>
      </c>
      <c r="B273" s="56" t="s">
        <v>44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4"/>
        <v>0</v>
      </c>
      <c r="H273" s="60"/>
      <c r="I273" s="59"/>
    </row>
    <row r="274" spans="1:9" x14ac:dyDescent="0.25">
      <c r="A274" s="55">
        <v>46295</v>
      </c>
      <c r="B274" s="56" t="s">
        <v>44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4"/>
        <v>0</v>
      </c>
      <c r="H274" s="60"/>
      <c r="I274" s="59"/>
    </row>
    <row r="275" spans="1:9" x14ac:dyDescent="0.25">
      <c r="A275" s="55">
        <v>46296</v>
      </c>
      <c r="B275" s="56" t="s">
        <v>44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4"/>
        <v>0</v>
      </c>
      <c r="H275" s="60"/>
      <c r="I275" s="59"/>
    </row>
    <row r="276" spans="1:9" x14ac:dyDescent="0.25">
      <c r="A276" s="55">
        <v>46297</v>
      </c>
      <c r="B276" s="56" t="s">
        <v>44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4"/>
        <v>0</v>
      </c>
      <c r="H276" s="60"/>
      <c r="I276" s="59"/>
    </row>
    <row r="277" spans="1:9" x14ac:dyDescent="0.25">
      <c r="A277" s="55">
        <v>46298</v>
      </c>
      <c r="B277" s="56" t="s">
        <v>44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4"/>
        <v>0</v>
      </c>
      <c r="H277" s="60"/>
      <c r="I277" s="59"/>
    </row>
    <row r="278" spans="1:9" x14ac:dyDescent="0.25">
      <c r="A278" s="55">
        <v>46299</v>
      </c>
      <c r="B278" s="56" t="s">
        <v>44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4"/>
        <v>0</v>
      </c>
      <c r="H278" s="61"/>
      <c r="I278" s="59"/>
    </row>
    <row r="279" spans="1:9" x14ac:dyDescent="0.25">
      <c r="A279" s="55">
        <v>46300</v>
      </c>
      <c r="B279" s="56" t="s">
        <v>44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4"/>
        <v>0</v>
      </c>
      <c r="H279" s="58">
        <f>SUM(G279:G285)</f>
        <v>0</v>
      </c>
      <c r="I279" s="59"/>
    </row>
    <row r="280" spans="1:9" x14ac:dyDescent="0.25">
      <c r="A280" s="55">
        <v>46301</v>
      </c>
      <c r="B280" s="56" t="s">
        <v>44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4"/>
        <v>0</v>
      </c>
      <c r="H280" s="60"/>
      <c r="I280" s="59"/>
    </row>
    <row r="281" spans="1:9" x14ac:dyDescent="0.25">
      <c r="A281" s="55">
        <v>46302</v>
      </c>
      <c r="B281" s="56" t="s">
        <v>44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4"/>
        <v>0</v>
      </c>
      <c r="H281" s="60"/>
      <c r="I281" s="59"/>
    </row>
    <row r="282" spans="1:9" x14ac:dyDescent="0.25">
      <c r="A282" s="55">
        <v>46303</v>
      </c>
      <c r="B282" s="56" t="s">
        <v>44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4"/>
        <v>0</v>
      </c>
      <c r="H282" s="60"/>
      <c r="I282" s="59"/>
    </row>
    <row r="283" spans="1:9" x14ac:dyDescent="0.25">
      <c r="A283" s="55">
        <v>46304</v>
      </c>
      <c r="B283" s="56" t="s">
        <v>44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4"/>
        <v>0</v>
      </c>
      <c r="H283" s="60"/>
      <c r="I283" s="59"/>
    </row>
    <row r="284" spans="1:9" x14ac:dyDescent="0.25">
      <c r="A284" s="55">
        <v>46305</v>
      </c>
      <c r="B284" s="56" t="s">
        <v>44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4"/>
        <v>0</v>
      </c>
      <c r="H284" s="60"/>
      <c r="I284" s="59"/>
    </row>
    <row r="285" spans="1:9" x14ac:dyDescent="0.25">
      <c r="A285" s="55">
        <v>46306</v>
      </c>
      <c r="B285" s="56" t="s">
        <v>44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4"/>
        <v>0</v>
      </c>
      <c r="H285" s="61"/>
      <c r="I285" s="59"/>
    </row>
    <row r="286" spans="1:9" x14ac:dyDescent="0.25">
      <c r="A286" s="55">
        <v>46307</v>
      </c>
      <c r="B286" s="56" t="s">
        <v>44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4"/>
        <v>0</v>
      </c>
      <c r="H286" s="58">
        <f>SUM(G286:G292)</f>
        <v>0</v>
      </c>
      <c r="I286" s="59"/>
    </row>
    <row r="287" spans="1:9" x14ac:dyDescent="0.25">
      <c r="A287" s="55">
        <v>46308</v>
      </c>
      <c r="B287" s="56" t="s">
        <v>44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4"/>
        <v>0</v>
      </c>
      <c r="H287" s="60"/>
      <c r="I287" s="59"/>
    </row>
    <row r="288" spans="1:9" x14ac:dyDescent="0.25">
      <c r="A288" s="55">
        <v>46309</v>
      </c>
      <c r="B288" s="56" t="s">
        <v>44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4"/>
        <v>0</v>
      </c>
      <c r="H288" s="60"/>
      <c r="I288" s="59"/>
    </row>
    <row r="289" spans="1:9" x14ac:dyDescent="0.25">
      <c r="A289" s="55">
        <v>46310</v>
      </c>
      <c r="B289" s="56" t="s">
        <v>44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4"/>
        <v>0</v>
      </c>
      <c r="H289" s="60"/>
      <c r="I289" s="59"/>
    </row>
    <row r="290" spans="1:9" x14ac:dyDescent="0.25">
      <c r="A290" s="55">
        <v>46311</v>
      </c>
      <c r="B290" s="56" t="s">
        <v>44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4"/>
        <v>0</v>
      </c>
      <c r="H290" s="60"/>
      <c r="I290" s="59"/>
    </row>
    <row r="291" spans="1:9" x14ac:dyDescent="0.25">
      <c r="A291" s="55">
        <v>46312</v>
      </c>
      <c r="B291" s="56" t="s">
        <v>44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4"/>
        <v>0</v>
      </c>
      <c r="H291" s="60"/>
      <c r="I291" s="59"/>
    </row>
    <row r="292" spans="1:9" x14ac:dyDescent="0.25">
      <c r="A292" s="55">
        <v>46313</v>
      </c>
      <c r="B292" s="56" t="s">
        <v>44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4"/>
        <v>0</v>
      </c>
      <c r="H292" s="61"/>
      <c r="I292" s="59"/>
    </row>
    <row r="293" spans="1:9" x14ac:dyDescent="0.25">
      <c r="A293" s="55">
        <v>46314</v>
      </c>
      <c r="B293" s="56" t="s">
        <v>44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4"/>
        <v>0</v>
      </c>
      <c r="H293" s="58">
        <f>SUM(G293:G299)</f>
        <v>0</v>
      </c>
      <c r="I293" s="59"/>
    </row>
    <row r="294" spans="1:9" x14ac:dyDescent="0.25">
      <c r="A294" s="55">
        <v>46315</v>
      </c>
      <c r="B294" s="56" t="s">
        <v>44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4"/>
        <v>0</v>
      </c>
      <c r="H294" s="60"/>
      <c r="I294" s="59"/>
    </row>
    <row r="295" spans="1:9" x14ac:dyDescent="0.25">
      <c r="A295" s="55">
        <v>46316</v>
      </c>
      <c r="B295" s="56" t="s">
        <v>44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4"/>
        <v>0</v>
      </c>
      <c r="H295" s="60"/>
      <c r="I295" s="59"/>
    </row>
    <row r="296" spans="1:9" x14ac:dyDescent="0.25">
      <c r="A296" s="55">
        <v>46317</v>
      </c>
      <c r="B296" s="56" t="s">
        <v>44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4"/>
        <v>0</v>
      </c>
      <c r="H296" s="60"/>
      <c r="I296" s="59"/>
    </row>
    <row r="297" spans="1:9" x14ac:dyDescent="0.25">
      <c r="A297" s="55">
        <v>46318</v>
      </c>
      <c r="B297" s="56" t="s">
        <v>44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4"/>
        <v>0</v>
      </c>
      <c r="H297" s="60"/>
      <c r="I297" s="59"/>
    </row>
    <row r="298" spans="1:9" x14ac:dyDescent="0.25">
      <c r="A298" s="55">
        <v>46319</v>
      </c>
      <c r="B298" s="56" t="s">
        <v>44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4"/>
        <v>0</v>
      </c>
      <c r="H298" s="60"/>
      <c r="I298" s="59"/>
    </row>
    <row r="299" spans="1:9" x14ac:dyDescent="0.25">
      <c r="A299" s="55">
        <v>46320</v>
      </c>
      <c r="B299" s="56" t="s">
        <v>44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4"/>
        <v>0</v>
      </c>
      <c r="H299" s="61"/>
      <c r="I299" s="59"/>
    </row>
    <row r="300" spans="1:9" x14ac:dyDescent="0.25">
      <c r="A300" s="55">
        <v>46321</v>
      </c>
      <c r="B300" s="56" t="s">
        <v>44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4"/>
        <v>0</v>
      </c>
      <c r="H300" s="58">
        <f>SUM(G300:G306)</f>
        <v>0</v>
      </c>
      <c r="I300" s="59"/>
    </row>
    <row r="301" spans="1:9" x14ac:dyDescent="0.25">
      <c r="A301" s="55">
        <v>46322</v>
      </c>
      <c r="B301" s="56" t="s">
        <v>44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4"/>
        <v>0</v>
      </c>
      <c r="H301" s="60"/>
      <c r="I301" s="59"/>
    </row>
    <row r="302" spans="1:9" x14ac:dyDescent="0.25">
      <c r="A302" s="55">
        <v>46323</v>
      </c>
      <c r="B302" s="56" t="s">
        <v>44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4"/>
        <v>0</v>
      </c>
      <c r="H302" s="60"/>
      <c r="I302" s="59"/>
    </row>
    <row r="303" spans="1:9" x14ac:dyDescent="0.25">
      <c r="A303" s="55">
        <v>46324</v>
      </c>
      <c r="B303" s="56" t="s">
        <v>44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4"/>
        <v>0</v>
      </c>
      <c r="H303" s="60"/>
      <c r="I303" s="59"/>
    </row>
    <row r="304" spans="1:9" x14ac:dyDescent="0.25">
      <c r="A304" s="55">
        <v>46325</v>
      </c>
      <c r="B304" s="56" t="s">
        <v>44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4"/>
        <v>0</v>
      </c>
      <c r="H304" s="60"/>
      <c r="I304" s="59"/>
    </row>
    <row r="305" spans="1:9" x14ac:dyDescent="0.25">
      <c r="A305" s="55">
        <v>46326</v>
      </c>
      <c r="B305" s="56" t="s">
        <v>44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4"/>
        <v>0</v>
      </c>
      <c r="H305" s="60"/>
      <c r="I305" s="59"/>
    </row>
    <row r="306" spans="1:9" x14ac:dyDescent="0.25">
      <c r="A306" s="55">
        <v>46327</v>
      </c>
      <c r="B306" s="56" t="s">
        <v>44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4"/>
        <v>0</v>
      </c>
      <c r="H306" s="61"/>
      <c r="I306" s="59"/>
    </row>
    <row r="307" spans="1:9" x14ac:dyDescent="0.25">
      <c r="A307" s="55">
        <v>46328</v>
      </c>
      <c r="B307" s="56" t="s">
        <v>44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4"/>
        <v>0</v>
      </c>
      <c r="H307" s="58">
        <f>SUM(G307:G313)</f>
        <v>0</v>
      </c>
      <c r="I307" s="59"/>
    </row>
    <row r="308" spans="1:9" x14ac:dyDescent="0.25">
      <c r="A308" s="55">
        <v>46329</v>
      </c>
      <c r="B308" s="56" t="s">
        <v>44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4"/>
        <v>0</v>
      </c>
      <c r="H308" s="60"/>
      <c r="I308" s="59"/>
    </row>
    <row r="309" spans="1:9" x14ac:dyDescent="0.25">
      <c r="A309" s="55">
        <v>46330</v>
      </c>
      <c r="B309" s="56" t="s">
        <v>44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4"/>
        <v>0</v>
      </c>
      <c r="H309" s="60"/>
      <c r="I309" s="59"/>
    </row>
    <row r="310" spans="1:9" x14ac:dyDescent="0.25">
      <c r="A310" s="55">
        <v>46331</v>
      </c>
      <c r="B310" s="56" t="s">
        <v>44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4"/>
        <v>0</v>
      </c>
      <c r="H310" s="60"/>
      <c r="I310" s="59"/>
    </row>
    <row r="311" spans="1:9" x14ac:dyDescent="0.25">
      <c r="A311" s="55">
        <v>46332</v>
      </c>
      <c r="B311" s="56" t="s">
        <v>44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4"/>
        <v>0</v>
      </c>
      <c r="H311" s="60"/>
      <c r="I311" s="59"/>
    </row>
    <row r="312" spans="1:9" x14ac:dyDescent="0.25">
      <c r="A312" s="55">
        <v>46333</v>
      </c>
      <c r="B312" s="56" t="s">
        <v>44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4"/>
        <v>0</v>
      </c>
      <c r="H312" s="60"/>
      <c r="I312" s="59"/>
    </row>
    <row r="313" spans="1:9" x14ac:dyDescent="0.25">
      <c r="A313" s="55">
        <v>46334</v>
      </c>
      <c r="B313" s="56" t="s">
        <v>44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4"/>
        <v>0</v>
      </c>
      <c r="H313" s="61"/>
      <c r="I313" s="59"/>
    </row>
    <row r="314" spans="1:9" x14ac:dyDescent="0.25">
      <c r="A314" s="55">
        <v>46335</v>
      </c>
      <c r="B314" s="56" t="s">
        <v>44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4"/>
        <v>0</v>
      </c>
      <c r="H314" s="58">
        <f>SUM(G314:G320)</f>
        <v>0</v>
      </c>
      <c r="I314" s="59"/>
    </row>
    <row r="315" spans="1:9" x14ac:dyDescent="0.25">
      <c r="A315" s="55">
        <v>46336</v>
      </c>
      <c r="B315" s="56" t="s">
        <v>44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4"/>
        <v>0</v>
      </c>
      <c r="H315" s="60"/>
      <c r="I315" s="59"/>
    </row>
    <row r="316" spans="1:9" x14ac:dyDescent="0.25">
      <c r="A316" s="55">
        <v>46337</v>
      </c>
      <c r="B316" s="56" t="s">
        <v>44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4"/>
        <v>0</v>
      </c>
      <c r="H316" s="60"/>
      <c r="I316" s="59"/>
    </row>
    <row r="317" spans="1:9" x14ac:dyDescent="0.25">
      <c r="A317" s="55">
        <v>46338</v>
      </c>
      <c r="B317" s="56" t="s">
        <v>44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4"/>
        <v>0</v>
      </c>
      <c r="H317" s="60"/>
      <c r="I317" s="59"/>
    </row>
    <row r="318" spans="1:9" x14ac:dyDescent="0.25">
      <c r="A318" s="55">
        <v>46339</v>
      </c>
      <c r="B318" s="56" t="s">
        <v>44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4"/>
        <v>0</v>
      </c>
      <c r="H318" s="60"/>
      <c r="I318" s="59"/>
    </row>
    <row r="319" spans="1:9" x14ac:dyDescent="0.25">
      <c r="A319" s="55">
        <v>46340</v>
      </c>
      <c r="B319" s="56" t="s">
        <v>44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4"/>
        <v>0</v>
      </c>
      <c r="H319" s="60"/>
      <c r="I319" s="59"/>
    </row>
    <row r="320" spans="1:9" x14ac:dyDescent="0.25">
      <c r="A320" s="55">
        <v>46341</v>
      </c>
      <c r="B320" s="56" t="s">
        <v>44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4"/>
        <v>0</v>
      </c>
      <c r="H320" s="61"/>
      <c r="I320" s="59"/>
    </row>
    <row r="321" spans="1:9" x14ac:dyDescent="0.25">
      <c r="A321" s="55">
        <v>46342</v>
      </c>
      <c r="B321" s="56" t="s">
        <v>44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4"/>
        <v>0</v>
      </c>
      <c r="H321" s="58">
        <f>SUM(G321:G327)</f>
        <v>0</v>
      </c>
      <c r="I321" s="59"/>
    </row>
    <row r="322" spans="1:9" x14ac:dyDescent="0.25">
      <c r="A322" s="55">
        <v>46343</v>
      </c>
      <c r="B322" s="56" t="s">
        <v>44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4"/>
        <v>0</v>
      </c>
      <c r="H322" s="60"/>
      <c r="I322" s="59"/>
    </row>
    <row r="323" spans="1:9" x14ac:dyDescent="0.25">
      <c r="A323" s="55">
        <v>46344</v>
      </c>
      <c r="B323" s="56" t="s">
        <v>44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5">SUM(C323,E323,F323-D323)</f>
        <v>0</v>
      </c>
      <c r="H323" s="60"/>
      <c r="I323" s="59"/>
    </row>
    <row r="324" spans="1:9" x14ac:dyDescent="0.25">
      <c r="A324" s="55">
        <v>46345</v>
      </c>
      <c r="B324" s="56" t="s">
        <v>44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5"/>
        <v>0</v>
      </c>
      <c r="H324" s="60"/>
      <c r="I324" s="59"/>
    </row>
    <row r="325" spans="1:9" x14ac:dyDescent="0.25">
      <c r="A325" s="55">
        <v>46346</v>
      </c>
      <c r="B325" s="56" t="s">
        <v>44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5"/>
        <v>0</v>
      </c>
      <c r="H325" s="60"/>
      <c r="I325" s="59"/>
    </row>
    <row r="326" spans="1:9" x14ac:dyDescent="0.25">
      <c r="A326" s="55">
        <v>46347</v>
      </c>
      <c r="B326" s="56" t="s">
        <v>44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5"/>
        <v>0</v>
      </c>
      <c r="H326" s="60"/>
      <c r="I326" s="59"/>
    </row>
    <row r="327" spans="1:9" x14ac:dyDescent="0.25">
      <c r="A327" s="55">
        <v>46348</v>
      </c>
      <c r="B327" s="56" t="s">
        <v>44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5"/>
        <v>0</v>
      </c>
      <c r="H327" s="61"/>
      <c r="I327" s="59"/>
    </row>
    <row r="328" spans="1:9" x14ac:dyDescent="0.25">
      <c r="A328" s="55">
        <v>46349</v>
      </c>
      <c r="B328" s="56" t="s">
        <v>44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5"/>
        <v>0</v>
      </c>
      <c r="H328" s="58">
        <f>SUM(G328:G334)</f>
        <v>0</v>
      </c>
      <c r="I328" s="59"/>
    </row>
    <row r="329" spans="1:9" x14ac:dyDescent="0.25">
      <c r="A329" s="55">
        <v>46350</v>
      </c>
      <c r="B329" s="56" t="s">
        <v>44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5"/>
        <v>0</v>
      </c>
      <c r="H329" s="60"/>
      <c r="I329" s="59"/>
    </row>
    <row r="330" spans="1:9" x14ac:dyDescent="0.25">
      <c r="A330" s="55">
        <v>46351</v>
      </c>
      <c r="B330" s="56" t="s">
        <v>44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5"/>
        <v>0</v>
      </c>
      <c r="H330" s="60"/>
      <c r="I330" s="59"/>
    </row>
    <row r="331" spans="1:9" x14ac:dyDescent="0.25">
      <c r="A331" s="55">
        <v>46352</v>
      </c>
      <c r="B331" s="56" t="s">
        <v>44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5"/>
        <v>0</v>
      </c>
      <c r="H331" s="60"/>
      <c r="I331" s="59"/>
    </row>
    <row r="332" spans="1:9" x14ac:dyDescent="0.25">
      <c r="A332" s="55">
        <v>46353</v>
      </c>
      <c r="B332" s="56" t="s">
        <v>44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5"/>
        <v>0</v>
      </c>
      <c r="H332" s="60"/>
      <c r="I332" s="59"/>
    </row>
    <row r="333" spans="1:9" x14ac:dyDescent="0.25">
      <c r="A333" s="55">
        <v>46354</v>
      </c>
      <c r="B333" s="56" t="s">
        <v>44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5"/>
        <v>0</v>
      </c>
      <c r="H333" s="60"/>
      <c r="I333" s="59"/>
    </row>
    <row r="334" spans="1:9" x14ac:dyDescent="0.25">
      <c r="A334" s="55">
        <v>46355</v>
      </c>
      <c r="B334" s="56" t="s">
        <v>44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5"/>
        <v>0</v>
      </c>
      <c r="H334" s="61"/>
      <c r="I334" s="59"/>
    </row>
    <row r="335" spans="1:9" x14ac:dyDescent="0.25">
      <c r="A335" s="55">
        <v>46356</v>
      </c>
      <c r="B335" s="56" t="s">
        <v>44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5"/>
        <v>0</v>
      </c>
      <c r="H335" s="58">
        <f>SUM(G335:G341)</f>
        <v>0</v>
      </c>
      <c r="I335" s="59"/>
    </row>
    <row r="336" spans="1:9" x14ac:dyDescent="0.25">
      <c r="A336" s="55">
        <v>46357</v>
      </c>
      <c r="B336" s="56" t="s">
        <v>44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5"/>
        <v>0</v>
      </c>
      <c r="H336" s="60"/>
      <c r="I336" s="59"/>
    </row>
    <row r="337" spans="1:9" x14ac:dyDescent="0.25">
      <c r="A337" s="55">
        <v>46358</v>
      </c>
      <c r="B337" s="56" t="s">
        <v>44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5"/>
        <v>0</v>
      </c>
      <c r="H337" s="60"/>
      <c r="I337" s="59"/>
    </row>
    <row r="338" spans="1:9" x14ac:dyDescent="0.25">
      <c r="A338" s="55">
        <v>46359</v>
      </c>
      <c r="B338" s="56" t="s">
        <v>44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5"/>
        <v>0</v>
      </c>
      <c r="H338" s="60"/>
      <c r="I338" s="59"/>
    </row>
    <row r="339" spans="1:9" x14ac:dyDescent="0.25">
      <c r="A339" s="55">
        <v>46360</v>
      </c>
      <c r="B339" s="56" t="s">
        <v>44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5"/>
        <v>0</v>
      </c>
      <c r="H339" s="60"/>
      <c r="I339" s="59"/>
    </row>
    <row r="340" spans="1:9" x14ac:dyDescent="0.25">
      <c r="A340" s="55">
        <v>46361</v>
      </c>
      <c r="B340" s="56" t="s">
        <v>44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5"/>
        <v>0</v>
      </c>
      <c r="H340" s="60"/>
      <c r="I340" s="59"/>
    </row>
    <row r="341" spans="1:9" x14ac:dyDescent="0.25">
      <c r="A341" s="55">
        <v>46362</v>
      </c>
      <c r="B341" s="56" t="s">
        <v>44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5"/>
        <v>0</v>
      </c>
      <c r="H341" s="61"/>
      <c r="I341" s="59"/>
    </row>
    <row r="342" spans="1:9" x14ac:dyDescent="0.25">
      <c r="A342" s="55">
        <v>46363</v>
      </c>
      <c r="B342" s="56" t="s">
        <v>44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5"/>
        <v>0</v>
      </c>
      <c r="H342" s="58">
        <f>SUM(G342:G348)</f>
        <v>0</v>
      </c>
      <c r="I342" s="59"/>
    </row>
    <row r="343" spans="1:9" x14ac:dyDescent="0.25">
      <c r="A343" s="55">
        <v>46364</v>
      </c>
      <c r="B343" s="56" t="s">
        <v>44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5"/>
        <v>0</v>
      </c>
      <c r="H343" s="60"/>
      <c r="I343" s="59"/>
    </row>
    <row r="344" spans="1:9" x14ac:dyDescent="0.25">
      <c r="A344" s="55">
        <v>46365</v>
      </c>
      <c r="B344" s="56" t="s">
        <v>44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5"/>
        <v>0</v>
      </c>
      <c r="H344" s="60"/>
      <c r="I344" s="59"/>
    </row>
    <row r="345" spans="1:9" x14ac:dyDescent="0.25">
      <c r="A345" s="55">
        <v>46366</v>
      </c>
      <c r="B345" s="56" t="s">
        <v>44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5"/>
        <v>0</v>
      </c>
      <c r="H345" s="60"/>
      <c r="I345" s="59"/>
    </row>
    <row r="346" spans="1:9" x14ac:dyDescent="0.25">
      <c r="A346" s="55">
        <v>46367</v>
      </c>
      <c r="B346" s="56" t="s">
        <v>44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5"/>
        <v>0</v>
      </c>
      <c r="H346" s="60"/>
      <c r="I346" s="59"/>
    </row>
    <row r="347" spans="1:9" x14ac:dyDescent="0.25">
      <c r="A347" s="55">
        <v>46368</v>
      </c>
      <c r="B347" s="56" t="s">
        <v>44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5"/>
        <v>0</v>
      </c>
      <c r="H347" s="60"/>
      <c r="I347" s="59"/>
    </row>
    <row r="348" spans="1:9" x14ac:dyDescent="0.25">
      <c r="A348" s="55">
        <v>46369</v>
      </c>
      <c r="B348" s="56" t="s">
        <v>44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5"/>
        <v>0</v>
      </c>
      <c r="H348" s="61"/>
      <c r="I348" s="59"/>
    </row>
    <row r="349" spans="1:9" x14ac:dyDescent="0.25">
      <c r="A349" s="55">
        <v>46370</v>
      </c>
      <c r="B349" s="56" t="s">
        <v>44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5"/>
        <v>0</v>
      </c>
      <c r="H349" s="58">
        <f>SUM(G349:G355)</f>
        <v>0</v>
      </c>
      <c r="I349" s="59"/>
    </row>
    <row r="350" spans="1:9" x14ac:dyDescent="0.25">
      <c r="A350" s="55">
        <v>46371</v>
      </c>
      <c r="B350" s="56" t="s">
        <v>44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5"/>
        <v>0</v>
      </c>
      <c r="H350" s="60"/>
      <c r="I350" s="59"/>
    </row>
    <row r="351" spans="1:9" x14ac:dyDescent="0.25">
      <c r="A351" s="55">
        <v>46372</v>
      </c>
      <c r="B351" s="56" t="s">
        <v>44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5"/>
        <v>0</v>
      </c>
      <c r="H351" s="60"/>
      <c r="I351" s="59"/>
    </row>
    <row r="352" spans="1:9" x14ac:dyDescent="0.25">
      <c r="A352" s="55">
        <v>46373</v>
      </c>
      <c r="B352" s="56" t="s">
        <v>44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5"/>
        <v>0</v>
      </c>
      <c r="H352" s="60"/>
      <c r="I352" s="59"/>
    </row>
    <row r="353" spans="1:9" x14ac:dyDescent="0.25">
      <c r="A353" s="55">
        <v>46374</v>
      </c>
      <c r="B353" s="56" t="s">
        <v>44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5"/>
        <v>0</v>
      </c>
      <c r="H353" s="60"/>
      <c r="I353" s="59"/>
    </row>
    <row r="354" spans="1:9" x14ac:dyDescent="0.25">
      <c r="A354" s="55">
        <v>46375</v>
      </c>
      <c r="B354" s="56" t="s">
        <v>44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5"/>
        <v>0</v>
      </c>
      <c r="H354" s="60"/>
      <c r="I354" s="59"/>
    </row>
    <row r="355" spans="1:9" x14ac:dyDescent="0.25">
      <c r="A355" s="55">
        <v>46376</v>
      </c>
      <c r="B355" s="56" t="s">
        <v>44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5"/>
        <v>0</v>
      </c>
      <c r="H355" s="61"/>
      <c r="I355" s="59"/>
    </row>
    <row r="356" spans="1:9" x14ac:dyDescent="0.25">
      <c r="A356" s="55">
        <v>46377</v>
      </c>
      <c r="B356" s="56" t="s">
        <v>44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5"/>
        <v>0</v>
      </c>
      <c r="H356" s="58">
        <f>SUM(G356:G362)</f>
        <v>0</v>
      </c>
      <c r="I356" s="59"/>
    </row>
    <row r="357" spans="1:9" x14ac:dyDescent="0.25">
      <c r="A357" s="55">
        <v>46378</v>
      </c>
      <c r="B357" s="56" t="s">
        <v>44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5"/>
        <v>0</v>
      </c>
      <c r="H357" s="60"/>
      <c r="I357" s="59"/>
    </row>
    <row r="358" spans="1:9" x14ac:dyDescent="0.25">
      <c r="A358" s="55">
        <v>46379</v>
      </c>
      <c r="B358" s="56" t="s">
        <v>44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5"/>
        <v>0</v>
      </c>
      <c r="H358" s="60"/>
      <c r="I358" s="59"/>
    </row>
    <row r="359" spans="1:9" x14ac:dyDescent="0.25">
      <c r="A359" s="55">
        <v>46380</v>
      </c>
      <c r="B359" s="56" t="s">
        <v>44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5"/>
        <v>0</v>
      </c>
      <c r="H359" s="60"/>
      <c r="I359" s="59"/>
    </row>
    <row r="360" spans="1:9" x14ac:dyDescent="0.25">
      <c r="A360" s="55">
        <v>46381</v>
      </c>
      <c r="B360" s="56" t="s">
        <v>44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5"/>
        <v>0</v>
      </c>
      <c r="H360" s="60"/>
      <c r="I360" s="59"/>
    </row>
    <row r="361" spans="1:9" x14ac:dyDescent="0.25">
      <c r="A361" s="55">
        <v>46382</v>
      </c>
      <c r="B361" s="56" t="s">
        <v>44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5"/>
        <v>0</v>
      </c>
      <c r="H361" s="60"/>
      <c r="I361" s="59"/>
    </row>
    <row r="362" spans="1:9" x14ac:dyDescent="0.25">
      <c r="A362" s="55">
        <v>46383</v>
      </c>
      <c r="B362" s="56" t="s">
        <v>44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5"/>
        <v>0</v>
      </c>
      <c r="H362" s="61"/>
      <c r="I362" s="59"/>
    </row>
    <row r="363" spans="1:9" x14ac:dyDescent="0.25">
      <c r="A363" s="55">
        <v>46384</v>
      </c>
      <c r="B363" s="56" t="s">
        <v>44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5"/>
        <v>0</v>
      </c>
      <c r="H363" s="72"/>
      <c r="I363" s="59"/>
    </row>
    <row r="364" spans="1:9" x14ac:dyDescent="0.25">
      <c r="A364" s="55">
        <v>46385</v>
      </c>
      <c r="B364" s="56" t="s">
        <v>44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5"/>
        <v>0</v>
      </c>
      <c r="H364" s="63"/>
      <c r="I364" s="59"/>
    </row>
    <row r="365" spans="1:9" x14ac:dyDescent="0.25">
      <c r="A365" s="55">
        <v>46386</v>
      </c>
      <c r="B365" s="56" t="s">
        <v>44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5"/>
        <v>0</v>
      </c>
      <c r="H365" s="63"/>
      <c r="I365" s="59"/>
    </row>
    <row r="366" spans="1:9" x14ac:dyDescent="0.25">
      <c r="A366" s="55">
        <v>46387</v>
      </c>
      <c r="B366" s="56" t="s">
        <v>44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5"/>
        <v>0</v>
      </c>
      <c r="H366" s="63"/>
      <c r="I366" s="59"/>
    </row>
    <row r="367" spans="1:9" x14ac:dyDescent="0.25">
      <c r="A367" s="55">
        <v>46388</v>
      </c>
      <c r="B367" s="56" t="s">
        <v>44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5"/>
        <v>0</v>
      </c>
      <c r="H367" s="63"/>
      <c r="I367" s="59"/>
    </row>
    <row r="368" spans="1:9" x14ac:dyDescent="0.25">
      <c r="A368" s="73"/>
      <c r="B368" s="74"/>
      <c r="C368" s="75"/>
      <c r="D368" s="75"/>
      <c r="E368" s="75"/>
      <c r="F368" s="75"/>
      <c r="G368" s="75"/>
      <c r="H368" s="75"/>
      <c r="I368" s="75"/>
    </row>
    <row r="369" spans="1:9" x14ac:dyDescent="0.25">
      <c r="A369" s="73"/>
      <c r="B369" s="74"/>
      <c r="C369" s="75"/>
      <c r="D369" s="75"/>
      <c r="E369" s="75"/>
      <c r="F369" s="75"/>
      <c r="G369" s="75"/>
      <c r="H369" s="75"/>
      <c r="I369" s="75"/>
    </row>
    <row r="370" spans="1:9" x14ac:dyDescent="0.25">
      <c r="A370" s="73"/>
      <c r="B370" s="74"/>
      <c r="C370" s="75"/>
      <c r="D370" s="75"/>
      <c r="E370" s="75"/>
      <c r="F370" s="75"/>
      <c r="G370" s="75"/>
      <c r="H370" s="75"/>
      <c r="I370" s="75"/>
    </row>
    <row r="371" spans="1:9" x14ac:dyDescent="0.25">
      <c r="A371" s="73"/>
      <c r="B371" s="74"/>
      <c r="C371" s="75"/>
      <c r="D371" s="75"/>
      <c r="E371" s="75"/>
      <c r="F371" s="75"/>
      <c r="G371" s="75"/>
      <c r="H371" s="75"/>
      <c r="I371" s="75"/>
    </row>
    <row r="372" spans="1:9" x14ac:dyDescent="0.25">
      <c r="A372" s="73"/>
      <c r="B372" s="74"/>
      <c r="C372" s="75"/>
      <c r="D372" s="75"/>
      <c r="E372" s="75"/>
      <c r="F372" s="75"/>
      <c r="G372" s="75"/>
      <c r="H372" s="75"/>
      <c r="I372" s="75"/>
    </row>
    <row r="373" spans="1:9" x14ac:dyDescent="0.25">
      <c r="A373" s="73"/>
      <c r="B373" s="74"/>
      <c r="C373" s="75"/>
      <c r="D373" s="75"/>
      <c r="E373" s="75"/>
      <c r="F373" s="75"/>
      <c r="G373" s="75"/>
      <c r="H373" s="75"/>
      <c r="I373" s="75"/>
    </row>
    <row r="374" spans="1:9" x14ac:dyDescent="0.25">
      <c r="A374" s="73"/>
      <c r="B374" s="74"/>
      <c r="C374" s="75"/>
      <c r="D374" s="75"/>
      <c r="E374" s="75"/>
      <c r="F374" s="75"/>
      <c r="G374" s="75"/>
      <c r="H374" s="75"/>
      <c r="I374" s="75"/>
    </row>
    <row r="375" spans="1:9" x14ac:dyDescent="0.25">
      <c r="A375" s="73"/>
      <c r="B375" s="74"/>
      <c r="C375" s="75"/>
      <c r="D375" s="75"/>
      <c r="E375" s="75"/>
      <c r="F375" s="75"/>
      <c r="G375" s="75"/>
      <c r="H375" s="75"/>
      <c r="I375" s="75"/>
    </row>
    <row r="376" spans="1:9" x14ac:dyDescent="0.25">
      <c r="A376" s="73"/>
      <c r="B376" s="74"/>
      <c r="C376" s="75"/>
      <c r="D376" s="75"/>
      <c r="E376" s="75"/>
      <c r="F376" s="75"/>
      <c r="G376" s="75"/>
      <c r="H376" s="75"/>
      <c r="I376" s="75"/>
    </row>
    <row r="377" spans="1:9" x14ac:dyDescent="0.25">
      <c r="A377" s="73"/>
      <c r="B377" s="74"/>
      <c r="C377" s="75"/>
      <c r="D377" s="75"/>
      <c r="E377" s="75"/>
      <c r="F377" s="75"/>
      <c r="G377" s="75"/>
      <c r="H377" s="75"/>
      <c r="I377" s="75"/>
    </row>
    <row r="378" spans="1:9" x14ac:dyDescent="0.25">
      <c r="A378" s="73"/>
      <c r="B378" s="74"/>
      <c r="C378" s="75"/>
      <c r="D378" s="75"/>
      <c r="E378" s="75"/>
      <c r="F378" s="75"/>
      <c r="G378" s="75"/>
      <c r="H378" s="75"/>
      <c r="I378" s="75"/>
    </row>
    <row r="379" spans="1:9" x14ac:dyDescent="0.25">
      <c r="A379" s="73"/>
      <c r="B379" s="74"/>
      <c r="C379" s="75"/>
      <c r="D379" s="75"/>
      <c r="E379" s="75"/>
      <c r="F379" s="75"/>
      <c r="G379" s="75"/>
      <c r="H379" s="75"/>
      <c r="I379" s="75"/>
    </row>
    <row r="380" spans="1:9" x14ac:dyDescent="0.25">
      <c r="A380" s="73"/>
      <c r="B380" s="74"/>
      <c r="C380" s="75"/>
      <c r="D380" s="75"/>
      <c r="E380" s="75"/>
      <c r="F380" s="75"/>
      <c r="G380" s="75"/>
      <c r="H380" s="75"/>
      <c r="I380" s="75"/>
    </row>
    <row r="381" spans="1:9" x14ac:dyDescent="0.25">
      <c r="A381" s="73"/>
      <c r="B381" s="74"/>
      <c r="C381" s="75"/>
      <c r="D381" s="75"/>
      <c r="E381" s="75"/>
      <c r="F381" s="75"/>
      <c r="G381" s="75"/>
      <c r="H381" s="75"/>
      <c r="I381" s="75"/>
    </row>
    <row r="382" spans="1:9" x14ac:dyDescent="0.25">
      <c r="A382" s="73"/>
      <c r="B382" s="74"/>
      <c r="C382" s="75"/>
      <c r="D382" s="75"/>
      <c r="E382" s="75"/>
      <c r="F382" s="75"/>
      <c r="G382" s="75"/>
      <c r="H382" s="75"/>
      <c r="I382" s="75"/>
    </row>
    <row r="383" spans="1:9" x14ac:dyDescent="0.25">
      <c r="A383" s="73"/>
      <c r="B383" s="74"/>
      <c r="C383" s="75"/>
      <c r="D383" s="75"/>
      <c r="E383" s="75"/>
      <c r="F383" s="75"/>
      <c r="G383" s="75"/>
      <c r="H383" s="75"/>
      <c r="I383" s="75"/>
    </row>
    <row r="384" spans="1:9" x14ac:dyDescent="0.25">
      <c r="A384" s="73"/>
      <c r="B384" s="74"/>
      <c r="C384" s="75"/>
      <c r="D384" s="75"/>
      <c r="E384" s="75"/>
      <c r="F384" s="75"/>
      <c r="G384" s="75"/>
      <c r="H384" s="75"/>
      <c r="I384" s="75"/>
    </row>
    <row r="385" spans="1:9" x14ac:dyDescent="0.25">
      <c r="A385" s="73"/>
      <c r="B385" s="74"/>
      <c r="C385" s="75"/>
      <c r="D385" s="75"/>
      <c r="E385" s="75"/>
      <c r="F385" s="75"/>
      <c r="G385" s="75"/>
      <c r="H385" s="75"/>
      <c r="I385" s="75"/>
    </row>
    <row r="386" spans="1:9" x14ac:dyDescent="0.25">
      <c r="A386" s="73"/>
      <c r="B386" s="74"/>
      <c r="C386" s="75"/>
      <c r="D386" s="75"/>
      <c r="E386" s="75"/>
      <c r="F386" s="75"/>
      <c r="G386" s="75"/>
      <c r="H386" s="75"/>
      <c r="I386" s="75"/>
    </row>
    <row r="387" spans="1:9" x14ac:dyDescent="0.25">
      <c r="A387" s="73"/>
      <c r="B387" s="74"/>
      <c r="C387" s="75"/>
      <c r="D387" s="75"/>
      <c r="E387" s="75"/>
      <c r="F387" s="75"/>
      <c r="G387" s="75"/>
      <c r="H387" s="75"/>
      <c r="I387" s="75"/>
    </row>
    <row r="388" spans="1:9" x14ac:dyDescent="0.25">
      <c r="A388" s="73"/>
      <c r="B388" s="74"/>
      <c r="C388" s="75"/>
      <c r="D388" s="75"/>
      <c r="E388" s="75"/>
      <c r="F388" s="75"/>
      <c r="G388" s="75"/>
      <c r="H388" s="75"/>
      <c r="I388" s="75"/>
    </row>
    <row r="389" spans="1:9" x14ac:dyDescent="0.25">
      <c r="A389" s="73"/>
      <c r="B389" s="74"/>
      <c r="C389" s="75"/>
      <c r="D389" s="75"/>
      <c r="E389" s="75"/>
      <c r="F389" s="75"/>
      <c r="G389" s="75"/>
      <c r="H389" s="75"/>
      <c r="I389" s="75"/>
    </row>
    <row r="390" spans="1:9" x14ac:dyDescent="0.25">
      <c r="A390" s="73"/>
      <c r="B390" s="74"/>
      <c r="C390" s="75"/>
      <c r="D390" s="75"/>
      <c r="E390" s="75"/>
      <c r="F390" s="75"/>
      <c r="G390" s="75"/>
      <c r="H390" s="75"/>
      <c r="I390" s="75"/>
    </row>
    <row r="391" spans="1:9" x14ac:dyDescent="0.25">
      <c r="A391" s="73"/>
      <c r="B391" s="74"/>
      <c r="C391" s="75"/>
      <c r="D391" s="75"/>
      <c r="E391" s="75"/>
      <c r="F391" s="75"/>
      <c r="G391" s="75"/>
      <c r="H391" s="75"/>
      <c r="I391" s="75"/>
    </row>
  </sheetData>
  <mergeCells count="57">
    <mergeCell ref="H2:H5"/>
    <mergeCell ref="H6:H12"/>
    <mergeCell ref="K10:O18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  <mergeCell ref="H368:H373"/>
    <mergeCell ref="H374:H379"/>
    <mergeCell ref="H380:H385"/>
    <mergeCell ref="H386:H3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7"/>
  <sheetViews>
    <sheetView workbookViewId="0" zoomScale="100" zoomScaleNormal="100">
      <selection activeCell="C124" sqref="C124"/>
    </sheetView>
  </sheetViews>
  <sheetFormatPr defaultRowHeight="15" outlineLevelRow="0" outlineLevelCol="0" x14ac:dyDescent="0"/>
  <cols>
    <col min="1" max="1" width="10.42578125" style="64" customWidth="1"/>
    <col min="2" max="2" width="12.85546875" style="64" customWidth="1"/>
    <col min="3" max="3" width="5.42578125" style="64" customWidth="1"/>
    <col min="4" max="4" width="7.42578125" style="64" customWidth="1"/>
    <col min="5" max="5" width="24.7109375" style="64" customWidth="1"/>
    <col min="6" max="6" width="5" style="64" customWidth="1"/>
    <col min="7" max="7" width="11.85546875" style="64" customWidth="1"/>
    <col min="8" max="8" width="10.5703125" style="64" customWidth="1"/>
    <col min="9" max="9" width="11.42578125" style="64" customWidth="1"/>
    <col min="10" max="16384" width="9.140625" style="64" customWidth="1"/>
  </cols>
  <sheetData>
    <row r="1" spans="1:9" x14ac:dyDescent="0.25">
      <c r="A1" s="53" t="s">
        <v>96</v>
      </c>
      <c r="B1" s="53" t="s">
        <v>0</v>
      </c>
      <c r="C1" s="53" t="s">
        <v>97</v>
      </c>
      <c r="D1" s="53" t="s">
        <v>98</v>
      </c>
      <c r="E1" s="53" t="s">
        <v>99</v>
      </c>
      <c r="F1" s="53" t="s">
        <v>100</v>
      </c>
      <c r="G1" s="54" t="s">
        <v>101</v>
      </c>
      <c r="H1" s="53" t="s">
        <v>102</v>
      </c>
      <c r="I1" s="53" t="s">
        <v>103</v>
      </c>
    </row>
    <row r="2" spans="1:9" x14ac:dyDescent="0.25">
      <c r="A2" s="55">
        <v>46023</v>
      </c>
      <c r="B2" s="56" t="s">
        <v>105</v>
      </c>
      <c r="C2" s="56">
        <v>17</v>
      </c>
      <c r="D2" s="56">
        <v>0</v>
      </c>
      <c r="E2" s="56">
        <v>0</v>
      </c>
      <c r="F2" s="56">
        <v>0</v>
      </c>
      <c r="G2" s="57">
        <f>SUM(F2,E2,C2-D2)</f>
        <v>17</v>
      </c>
      <c r="H2" s="58">
        <f>SUM(G2:G5)</f>
        <v>49</v>
      </c>
      <c r="I2" s="59"/>
    </row>
    <row r="3" spans="1:9" x14ac:dyDescent="0.25">
      <c r="A3" s="55">
        <v>46024</v>
      </c>
      <c r="B3" s="56" t="s">
        <v>105</v>
      </c>
      <c r="C3" s="56">
        <v>16</v>
      </c>
      <c r="D3" s="56">
        <v>1</v>
      </c>
      <c r="E3" s="56">
        <v>0</v>
      </c>
      <c r="F3" s="56">
        <v>0</v>
      </c>
      <c r="G3" s="57">
        <f t="shared" ref="G3:G66" si="0">SUM(F3,E3,C3-D3)</f>
        <v>15</v>
      </c>
      <c r="H3" s="60"/>
      <c r="I3" s="59"/>
    </row>
    <row r="4" spans="1:9" x14ac:dyDescent="0.25">
      <c r="A4" s="55">
        <v>46025</v>
      </c>
      <c r="B4" s="56" t="s">
        <v>105</v>
      </c>
      <c r="C4" s="56">
        <v>13</v>
      </c>
      <c r="D4" s="56">
        <v>4</v>
      </c>
      <c r="E4" s="56">
        <v>0</v>
      </c>
      <c r="F4" s="56">
        <v>0</v>
      </c>
      <c r="G4" s="57">
        <f t="shared" si="0"/>
        <v>9</v>
      </c>
      <c r="H4" s="60"/>
      <c r="I4" s="59"/>
    </row>
    <row r="5" spans="1:9" x14ac:dyDescent="0.25">
      <c r="A5" s="55">
        <v>46026</v>
      </c>
      <c r="B5" s="56" t="s">
        <v>105</v>
      </c>
      <c r="C5" s="56">
        <v>9</v>
      </c>
      <c r="D5" s="56">
        <v>1</v>
      </c>
      <c r="E5" s="56">
        <v>0</v>
      </c>
      <c r="F5" s="56">
        <v>0</v>
      </c>
      <c r="G5" s="57">
        <f t="shared" si="0"/>
        <v>8</v>
      </c>
      <c r="H5" s="61"/>
      <c r="I5" s="59"/>
    </row>
    <row r="6" spans="1:9" x14ac:dyDescent="0.25">
      <c r="A6" s="55">
        <v>46027</v>
      </c>
      <c r="B6" s="56" t="s">
        <v>105</v>
      </c>
      <c r="C6" s="56">
        <v>19</v>
      </c>
      <c r="D6" s="56">
        <v>1</v>
      </c>
      <c r="E6" s="56">
        <v>0</v>
      </c>
      <c r="F6" s="56">
        <v>0</v>
      </c>
      <c r="G6" s="57">
        <f t="shared" si="0"/>
        <v>18</v>
      </c>
      <c r="H6" s="58">
        <f>SUM(G6:G12)</f>
        <v>76</v>
      </c>
      <c r="I6" s="59"/>
    </row>
    <row r="7" spans="1:9" x14ac:dyDescent="0.25">
      <c r="A7" s="55">
        <v>46028</v>
      </c>
      <c r="B7" s="56" t="s">
        <v>105</v>
      </c>
      <c r="C7" s="56">
        <v>12</v>
      </c>
      <c r="D7" s="56">
        <v>2</v>
      </c>
      <c r="E7" s="56">
        <v>0</v>
      </c>
      <c r="F7" s="56">
        <v>0</v>
      </c>
      <c r="G7" s="57">
        <f t="shared" si="0"/>
        <v>10</v>
      </c>
      <c r="H7" s="60"/>
      <c r="I7" s="59"/>
    </row>
    <row r="8" spans="1:9" x14ac:dyDescent="0.25">
      <c r="A8" s="55">
        <v>46029</v>
      </c>
      <c r="B8" s="56" t="s">
        <v>105</v>
      </c>
      <c r="C8" s="56">
        <v>12</v>
      </c>
      <c r="D8" s="56">
        <v>3</v>
      </c>
      <c r="E8" s="56">
        <v>0</v>
      </c>
      <c r="F8" s="56">
        <v>0</v>
      </c>
      <c r="G8" s="57">
        <f t="shared" si="0"/>
        <v>9</v>
      </c>
      <c r="H8" s="60"/>
      <c r="I8" s="59"/>
    </row>
    <row r="9" spans="1:15" x14ac:dyDescent="0.25">
      <c r="A9" s="55">
        <v>46030</v>
      </c>
      <c r="B9" s="56" t="s">
        <v>105</v>
      </c>
      <c r="C9" s="56">
        <v>13</v>
      </c>
      <c r="D9" s="56">
        <v>1</v>
      </c>
      <c r="E9" s="56">
        <v>0</v>
      </c>
      <c r="F9" s="56">
        <v>0</v>
      </c>
      <c r="G9" s="57">
        <f t="shared" si="0"/>
        <v>12</v>
      </c>
      <c r="H9" s="60"/>
      <c r="I9" s="59"/>
      <c r="K9" s="15" t="s">
        <v>104</v>
      </c>
      <c r="L9" s="16"/>
      <c r="M9" s="16"/>
      <c r="N9" s="16"/>
      <c r="O9" s="16"/>
    </row>
    <row r="10" spans="1:15" x14ac:dyDescent="0.25">
      <c r="A10" s="55">
        <v>46031</v>
      </c>
      <c r="B10" s="56" t="s">
        <v>105</v>
      </c>
      <c r="C10" s="56">
        <v>12</v>
      </c>
      <c r="D10" s="56">
        <v>1</v>
      </c>
      <c r="E10" s="56">
        <v>0</v>
      </c>
      <c r="F10" s="56">
        <v>0</v>
      </c>
      <c r="G10" s="57">
        <f t="shared" si="0"/>
        <v>11</v>
      </c>
      <c r="H10" s="60"/>
      <c r="I10" s="59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105</v>
      </c>
      <c r="C11" s="56">
        <v>10</v>
      </c>
      <c r="D11" s="56">
        <v>1</v>
      </c>
      <c r="E11" s="56">
        <v>0</v>
      </c>
      <c r="F11" s="56">
        <v>0</v>
      </c>
      <c r="G11" s="57">
        <f t="shared" si="0"/>
        <v>9</v>
      </c>
      <c r="H11" s="60"/>
      <c r="I11" s="59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105</v>
      </c>
      <c r="C12" s="56">
        <v>11</v>
      </c>
      <c r="D12" s="56">
        <v>4</v>
      </c>
      <c r="E12" s="56">
        <v>0</v>
      </c>
      <c r="F12" s="56">
        <v>0</v>
      </c>
      <c r="G12" s="57">
        <f t="shared" si="0"/>
        <v>7</v>
      </c>
      <c r="H12" s="61"/>
      <c r="I12" s="59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105</v>
      </c>
      <c r="C13" s="56">
        <v>11</v>
      </c>
      <c r="D13" s="56">
        <v>4</v>
      </c>
      <c r="E13" s="56">
        <v>0</v>
      </c>
      <c r="F13" s="56">
        <v>0</v>
      </c>
      <c r="G13" s="57">
        <f t="shared" si="0"/>
        <v>7</v>
      </c>
      <c r="H13" s="58">
        <f>SUM(G13:G19)</f>
        <v>138</v>
      </c>
      <c r="I13" s="59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105</v>
      </c>
      <c r="C14" s="56">
        <v>6</v>
      </c>
      <c r="D14" s="56">
        <v>3</v>
      </c>
      <c r="E14" s="56">
        <v>0</v>
      </c>
      <c r="F14" s="56">
        <v>0</v>
      </c>
      <c r="G14" s="57">
        <f t="shared" si="0"/>
        <v>3</v>
      </c>
      <c r="H14" s="60"/>
      <c r="I14" s="59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105</v>
      </c>
      <c r="C15" s="56">
        <v>7</v>
      </c>
      <c r="D15" s="56">
        <v>3</v>
      </c>
      <c r="E15" s="56">
        <v>0</v>
      </c>
      <c r="F15" s="56">
        <v>0</v>
      </c>
      <c r="G15" s="57">
        <f t="shared" si="0"/>
        <v>4</v>
      </c>
      <c r="H15" s="60"/>
      <c r="I15" s="59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105</v>
      </c>
      <c r="C16" s="56">
        <v>63</v>
      </c>
      <c r="D16" s="56">
        <v>5</v>
      </c>
      <c r="E16" s="56">
        <v>0</v>
      </c>
      <c r="F16" s="56">
        <v>0</v>
      </c>
      <c r="G16" s="57">
        <f t="shared" si="0"/>
        <v>58</v>
      </c>
      <c r="H16" s="60"/>
      <c r="I16" s="59"/>
      <c r="K16" s="16"/>
      <c r="L16" s="16"/>
      <c r="M16" s="16"/>
      <c r="N16" s="16"/>
      <c r="O16" s="16"/>
    </row>
    <row r="17" spans="1:15" x14ac:dyDescent="0.25">
      <c r="A17" s="55">
        <v>46038</v>
      </c>
      <c r="B17" s="56" t="s">
        <v>105</v>
      </c>
      <c r="C17" s="56">
        <v>38</v>
      </c>
      <c r="D17" s="56">
        <v>0</v>
      </c>
      <c r="E17" s="56">
        <v>0</v>
      </c>
      <c r="F17" s="56">
        <v>0</v>
      </c>
      <c r="G17" s="57">
        <f t="shared" si="0"/>
        <v>38</v>
      </c>
      <c r="H17" s="60"/>
      <c r="I17" s="59"/>
      <c r="K17" s="16"/>
      <c r="L17" s="16"/>
      <c r="M17" s="16"/>
      <c r="N17" s="16"/>
      <c r="O17" s="16"/>
    </row>
    <row r="18" spans="1:9" x14ac:dyDescent="0.25">
      <c r="A18" s="55">
        <v>46039</v>
      </c>
      <c r="B18" s="56" t="s">
        <v>105</v>
      </c>
      <c r="C18" s="56">
        <v>15</v>
      </c>
      <c r="D18" s="56">
        <v>2</v>
      </c>
      <c r="E18" s="56">
        <v>0</v>
      </c>
      <c r="F18" s="56">
        <v>0</v>
      </c>
      <c r="G18" s="57">
        <f t="shared" si="0"/>
        <v>13</v>
      </c>
      <c r="H18" s="60"/>
      <c r="I18" s="59"/>
    </row>
    <row r="19" spans="1:9" x14ac:dyDescent="0.25">
      <c r="A19" s="55">
        <v>46040</v>
      </c>
      <c r="B19" s="56" t="s">
        <v>105</v>
      </c>
      <c r="C19" s="56">
        <v>16</v>
      </c>
      <c r="D19" s="56">
        <v>1</v>
      </c>
      <c r="E19" s="56">
        <v>0</v>
      </c>
      <c r="F19" s="56">
        <v>0</v>
      </c>
      <c r="G19" s="57">
        <f t="shared" si="0"/>
        <v>15</v>
      </c>
      <c r="H19" s="61"/>
      <c r="I19" s="59"/>
    </row>
    <row r="20" spans="1:9" x14ac:dyDescent="0.25">
      <c r="A20" s="55">
        <v>46041</v>
      </c>
      <c r="B20" s="56" t="s">
        <v>105</v>
      </c>
      <c r="C20" s="56">
        <v>14</v>
      </c>
      <c r="D20" s="56">
        <v>2</v>
      </c>
      <c r="E20" s="56">
        <v>0</v>
      </c>
      <c r="F20" s="56">
        <v>0</v>
      </c>
      <c r="G20" s="57">
        <f t="shared" si="0"/>
        <v>12</v>
      </c>
      <c r="H20" s="58">
        <f>SUM(G20:G26)</f>
        <v>33</v>
      </c>
      <c r="I20" s="59"/>
    </row>
    <row r="21" spans="1:9" x14ac:dyDescent="0.25">
      <c r="A21" s="55">
        <v>46042</v>
      </c>
      <c r="B21" s="56" t="s">
        <v>105</v>
      </c>
      <c r="C21" s="56">
        <v>9</v>
      </c>
      <c r="D21" s="56">
        <v>3</v>
      </c>
      <c r="E21" s="56">
        <v>0</v>
      </c>
      <c r="F21" s="56">
        <v>0</v>
      </c>
      <c r="G21" s="57">
        <f t="shared" si="0"/>
        <v>6</v>
      </c>
      <c r="H21" s="60"/>
      <c r="I21" s="59"/>
    </row>
    <row r="22" spans="1:9" x14ac:dyDescent="0.25">
      <c r="A22" s="55">
        <v>46043</v>
      </c>
      <c r="B22" s="56" t="s">
        <v>105</v>
      </c>
      <c r="C22" s="56">
        <v>6</v>
      </c>
      <c r="D22" s="56">
        <v>2</v>
      </c>
      <c r="E22" s="56">
        <v>0</v>
      </c>
      <c r="F22" s="56">
        <v>0</v>
      </c>
      <c r="G22" s="57">
        <f t="shared" si="0"/>
        <v>4</v>
      </c>
      <c r="H22" s="60"/>
      <c r="I22" s="59"/>
    </row>
    <row r="23" spans="1:9" x14ac:dyDescent="0.25">
      <c r="A23" s="55">
        <v>46044</v>
      </c>
      <c r="B23" s="56" t="s">
        <v>105</v>
      </c>
      <c r="C23" s="56">
        <v>2</v>
      </c>
      <c r="D23" s="56">
        <v>2</v>
      </c>
      <c r="E23" s="56">
        <v>0</v>
      </c>
      <c r="F23" s="56">
        <v>0</v>
      </c>
      <c r="G23" s="57">
        <f t="shared" si="0"/>
        <v>0</v>
      </c>
      <c r="H23" s="60"/>
      <c r="I23" s="59"/>
    </row>
    <row r="24" spans="1:9" x14ac:dyDescent="0.25">
      <c r="A24" s="55">
        <v>46045</v>
      </c>
      <c r="B24" s="56" t="s">
        <v>105</v>
      </c>
      <c r="C24" s="56">
        <v>3</v>
      </c>
      <c r="D24" s="56">
        <v>3</v>
      </c>
      <c r="E24" s="56">
        <v>0</v>
      </c>
      <c r="F24" s="56">
        <v>0</v>
      </c>
      <c r="G24" s="57">
        <f t="shared" si="0"/>
        <v>0</v>
      </c>
      <c r="H24" s="60"/>
      <c r="I24" s="59"/>
    </row>
    <row r="25" spans="1:9" x14ac:dyDescent="0.25">
      <c r="A25" s="55">
        <v>46046</v>
      </c>
      <c r="B25" s="56" t="s">
        <v>105</v>
      </c>
      <c r="C25" s="56">
        <v>7</v>
      </c>
      <c r="D25" s="56">
        <v>3</v>
      </c>
      <c r="E25" s="56">
        <v>0</v>
      </c>
      <c r="F25" s="56">
        <v>0</v>
      </c>
      <c r="G25" s="57">
        <f t="shared" si="0"/>
        <v>4</v>
      </c>
      <c r="H25" s="60"/>
      <c r="I25" s="59"/>
    </row>
    <row r="26" spans="1:9" x14ac:dyDescent="0.25">
      <c r="A26" s="55">
        <v>46047</v>
      </c>
      <c r="B26" s="56" t="s">
        <v>105</v>
      </c>
      <c r="C26" s="56">
        <v>7</v>
      </c>
      <c r="D26" s="56">
        <v>0</v>
      </c>
      <c r="E26" s="56">
        <v>0</v>
      </c>
      <c r="F26" s="56">
        <v>0</v>
      </c>
      <c r="G26" s="57">
        <f t="shared" si="0"/>
        <v>7</v>
      </c>
      <c r="H26" s="61"/>
      <c r="I26" s="59"/>
    </row>
    <row r="27" spans="1:9" x14ac:dyDescent="0.25">
      <c r="A27" s="55">
        <v>46048</v>
      </c>
      <c r="B27" s="56" t="s">
        <v>105</v>
      </c>
      <c r="C27" s="56">
        <v>1</v>
      </c>
      <c r="D27" s="56">
        <v>2</v>
      </c>
      <c r="E27" s="56">
        <v>0</v>
      </c>
      <c r="F27" s="56">
        <v>0</v>
      </c>
      <c r="G27" s="57">
        <f t="shared" si="0"/>
        <v>-1</v>
      </c>
      <c r="H27" s="58">
        <f>SUM(G27:G33)</f>
        <v>-2</v>
      </c>
      <c r="I27" s="59"/>
    </row>
    <row r="28" spans="1:9" x14ac:dyDescent="0.25">
      <c r="A28" s="55">
        <v>46049</v>
      </c>
      <c r="B28" s="56" t="s">
        <v>105</v>
      </c>
      <c r="C28" s="56">
        <v>1</v>
      </c>
      <c r="D28" s="56">
        <v>2</v>
      </c>
      <c r="E28" s="56">
        <v>0</v>
      </c>
      <c r="F28" s="56">
        <v>0</v>
      </c>
      <c r="G28" s="57">
        <f t="shared" si="0"/>
        <v>-1</v>
      </c>
      <c r="H28" s="60"/>
      <c r="I28" s="59"/>
    </row>
    <row r="29" spans="1:9" x14ac:dyDescent="0.25">
      <c r="A29" s="55">
        <v>46050</v>
      </c>
      <c r="B29" s="56" t="s">
        <v>105</v>
      </c>
      <c r="C29" s="56">
        <v>0</v>
      </c>
      <c r="D29" s="56">
        <v>1</v>
      </c>
      <c r="E29" s="56">
        <v>0</v>
      </c>
      <c r="F29" s="56">
        <v>0</v>
      </c>
      <c r="G29" s="57">
        <f t="shared" si="0"/>
        <v>-1</v>
      </c>
      <c r="H29" s="60"/>
      <c r="I29" s="59"/>
    </row>
    <row r="30" spans="1:9" x14ac:dyDescent="0.25">
      <c r="A30" s="55">
        <v>46051</v>
      </c>
      <c r="B30" s="56" t="s">
        <v>105</v>
      </c>
      <c r="C30" s="56">
        <v>2</v>
      </c>
      <c r="D30" s="56">
        <v>4</v>
      </c>
      <c r="E30" s="56">
        <v>0</v>
      </c>
      <c r="F30" s="56">
        <v>0</v>
      </c>
      <c r="G30" s="57">
        <f t="shared" si="0"/>
        <v>-2</v>
      </c>
      <c r="H30" s="60"/>
      <c r="I30" s="59"/>
    </row>
    <row r="31" spans="1:9" x14ac:dyDescent="0.25">
      <c r="A31" s="55">
        <v>46052</v>
      </c>
      <c r="B31" s="56" t="s">
        <v>105</v>
      </c>
      <c r="C31" s="56">
        <v>1</v>
      </c>
      <c r="D31" s="56">
        <v>1</v>
      </c>
      <c r="E31" s="56">
        <v>0</v>
      </c>
      <c r="F31" s="56">
        <v>0</v>
      </c>
      <c r="G31" s="57">
        <f t="shared" si="0"/>
        <v>0</v>
      </c>
      <c r="H31" s="60"/>
      <c r="I31" s="59"/>
    </row>
    <row r="32" spans="1:9" x14ac:dyDescent="0.25">
      <c r="A32" s="55">
        <v>46053</v>
      </c>
      <c r="B32" s="56" t="s">
        <v>105</v>
      </c>
      <c r="C32" s="56">
        <v>2</v>
      </c>
      <c r="D32" s="56">
        <v>1</v>
      </c>
      <c r="E32" s="56">
        <v>0</v>
      </c>
      <c r="F32" s="56">
        <v>0</v>
      </c>
      <c r="G32" s="57">
        <f t="shared" si="0"/>
        <v>1</v>
      </c>
      <c r="H32" s="60"/>
      <c r="I32" s="59"/>
    </row>
    <row r="33" spans="1:9" x14ac:dyDescent="0.25">
      <c r="A33" s="55">
        <v>46054</v>
      </c>
      <c r="B33" s="56" t="s">
        <v>105</v>
      </c>
      <c r="C33" s="56">
        <v>4</v>
      </c>
      <c r="D33" s="56">
        <v>2</v>
      </c>
      <c r="E33" s="56">
        <v>0</v>
      </c>
      <c r="F33" s="56">
        <v>0</v>
      </c>
      <c r="G33" s="57">
        <f t="shared" si="0"/>
        <v>2</v>
      </c>
      <c r="H33" s="61"/>
      <c r="I33" s="59"/>
    </row>
    <row r="34" spans="1:9" x14ac:dyDescent="0.25">
      <c r="A34" s="55">
        <v>46055</v>
      </c>
      <c r="B34" s="56" t="s">
        <v>105</v>
      </c>
      <c r="C34" s="56">
        <v>3</v>
      </c>
      <c r="D34" s="56">
        <v>2</v>
      </c>
      <c r="E34" s="56">
        <v>0</v>
      </c>
      <c r="F34" s="56">
        <v>0</v>
      </c>
      <c r="G34" s="57">
        <f t="shared" si="0"/>
        <v>1</v>
      </c>
      <c r="H34" s="58">
        <f>SUM(G34:G40)</f>
        <v>12</v>
      </c>
      <c r="I34" s="59"/>
    </row>
    <row r="35" spans="1:9" x14ac:dyDescent="0.25">
      <c r="A35" s="55">
        <v>46056</v>
      </c>
      <c r="B35" s="56" t="s">
        <v>105</v>
      </c>
      <c r="C35" s="56">
        <v>6</v>
      </c>
      <c r="D35" s="56">
        <v>2</v>
      </c>
      <c r="E35" s="56">
        <v>0</v>
      </c>
      <c r="F35" s="56">
        <v>0</v>
      </c>
      <c r="G35" s="57">
        <f t="shared" si="0"/>
        <v>4</v>
      </c>
      <c r="H35" s="60"/>
      <c r="I35" s="59"/>
    </row>
    <row r="36" spans="1:9" x14ac:dyDescent="0.25">
      <c r="A36" s="55">
        <v>46057</v>
      </c>
      <c r="B36" s="56" t="s">
        <v>105</v>
      </c>
      <c r="C36" s="56">
        <v>0</v>
      </c>
      <c r="D36" s="56">
        <v>1</v>
      </c>
      <c r="E36" s="56">
        <v>0</v>
      </c>
      <c r="F36" s="56">
        <v>0</v>
      </c>
      <c r="G36" s="57">
        <f t="shared" si="0"/>
        <v>-1</v>
      </c>
      <c r="H36" s="60"/>
      <c r="I36" s="59"/>
    </row>
    <row r="37" spans="1:9" x14ac:dyDescent="0.25">
      <c r="A37" s="55">
        <v>46058</v>
      </c>
      <c r="B37" s="56" t="s">
        <v>105</v>
      </c>
      <c r="C37" s="56">
        <v>3</v>
      </c>
      <c r="D37" s="56">
        <v>2</v>
      </c>
      <c r="E37" s="56">
        <v>0</v>
      </c>
      <c r="F37" s="56">
        <v>0</v>
      </c>
      <c r="G37" s="57">
        <f t="shared" si="0"/>
        <v>1</v>
      </c>
      <c r="H37" s="60"/>
      <c r="I37" s="59"/>
    </row>
    <row r="38" spans="1:9" x14ac:dyDescent="0.25">
      <c r="A38" s="55">
        <v>46059</v>
      </c>
      <c r="B38" s="56" t="s">
        <v>105</v>
      </c>
      <c r="C38" s="56">
        <v>5</v>
      </c>
      <c r="D38" s="56">
        <v>5</v>
      </c>
      <c r="E38" s="56">
        <v>0</v>
      </c>
      <c r="F38" s="56">
        <v>0</v>
      </c>
      <c r="G38" s="57">
        <f t="shared" si="0"/>
        <v>0</v>
      </c>
      <c r="H38" s="60"/>
      <c r="I38" s="59"/>
    </row>
    <row r="39" spans="1:9" x14ac:dyDescent="0.25">
      <c r="A39" s="55">
        <v>46060</v>
      </c>
      <c r="B39" s="56" t="s">
        <v>105</v>
      </c>
      <c r="C39" s="56">
        <v>6</v>
      </c>
      <c r="D39" s="56">
        <v>3</v>
      </c>
      <c r="E39" s="56">
        <v>0</v>
      </c>
      <c r="F39" s="56">
        <v>0</v>
      </c>
      <c r="G39" s="57">
        <f t="shared" si="0"/>
        <v>3</v>
      </c>
      <c r="H39" s="60"/>
      <c r="I39" s="59"/>
    </row>
    <row r="40" spans="1:9" x14ac:dyDescent="0.25">
      <c r="A40" s="55">
        <v>46061</v>
      </c>
      <c r="B40" s="56" t="s">
        <v>105</v>
      </c>
      <c r="C40" s="56">
        <v>5</v>
      </c>
      <c r="D40" s="56">
        <v>1</v>
      </c>
      <c r="E40" s="56">
        <v>0</v>
      </c>
      <c r="F40" s="56">
        <v>0</v>
      </c>
      <c r="G40" s="57">
        <f t="shared" si="0"/>
        <v>4</v>
      </c>
      <c r="H40" s="61"/>
      <c r="I40" s="59"/>
    </row>
    <row r="41" spans="1:9" x14ac:dyDescent="0.25">
      <c r="A41" s="55">
        <v>46062</v>
      </c>
      <c r="B41" s="56" t="s">
        <v>105</v>
      </c>
      <c r="C41" s="56">
        <v>3</v>
      </c>
      <c r="D41" s="56">
        <v>0</v>
      </c>
      <c r="E41" s="56">
        <v>0</v>
      </c>
      <c r="F41" s="56">
        <v>0</v>
      </c>
      <c r="G41" s="57">
        <f t="shared" si="0"/>
        <v>3</v>
      </c>
      <c r="H41" s="58">
        <f>SUM(G41:G47)</f>
        <v>1</v>
      </c>
      <c r="I41" s="59"/>
    </row>
    <row r="42" spans="1:9" x14ac:dyDescent="0.25">
      <c r="A42" s="55">
        <v>46063</v>
      </c>
      <c r="B42" s="56" t="s">
        <v>105</v>
      </c>
      <c r="C42" s="56">
        <v>3</v>
      </c>
      <c r="D42" s="56">
        <v>1</v>
      </c>
      <c r="E42" s="56">
        <v>0</v>
      </c>
      <c r="F42" s="56">
        <v>0</v>
      </c>
      <c r="G42" s="57">
        <f t="shared" si="0"/>
        <v>2</v>
      </c>
      <c r="H42" s="60"/>
      <c r="I42" s="59"/>
    </row>
    <row r="43" spans="1:9" x14ac:dyDescent="0.25">
      <c r="A43" s="55">
        <v>46064</v>
      </c>
      <c r="B43" s="56" t="s">
        <v>105</v>
      </c>
      <c r="C43" s="56">
        <v>2</v>
      </c>
      <c r="D43" s="56">
        <v>3</v>
      </c>
      <c r="E43" s="56">
        <v>0</v>
      </c>
      <c r="F43" s="56">
        <v>0</v>
      </c>
      <c r="G43" s="57">
        <f t="shared" si="0"/>
        <v>-1</v>
      </c>
      <c r="H43" s="60"/>
      <c r="I43" s="59"/>
    </row>
    <row r="44" spans="1:9" x14ac:dyDescent="0.25">
      <c r="A44" s="55">
        <v>46065</v>
      </c>
      <c r="B44" s="56" t="s">
        <v>105</v>
      </c>
      <c r="C44" s="56">
        <v>0</v>
      </c>
      <c r="D44" s="56">
        <v>2</v>
      </c>
      <c r="E44" s="56">
        <v>0</v>
      </c>
      <c r="F44" s="56">
        <v>0</v>
      </c>
      <c r="G44" s="57">
        <f t="shared" si="0"/>
        <v>-2</v>
      </c>
      <c r="H44" s="60"/>
      <c r="I44" s="59"/>
    </row>
    <row r="45" spans="1:9" x14ac:dyDescent="0.25">
      <c r="A45" s="55">
        <v>46066</v>
      </c>
      <c r="B45" s="56" t="s">
        <v>105</v>
      </c>
      <c r="C45" s="56">
        <v>2</v>
      </c>
      <c r="D45" s="56">
        <v>2</v>
      </c>
      <c r="E45" s="56">
        <v>0</v>
      </c>
      <c r="F45" s="56">
        <v>0</v>
      </c>
      <c r="G45" s="57">
        <f t="shared" si="0"/>
        <v>0</v>
      </c>
      <c r="H45" s="60"/>
      <c r="I45" s="59"/>
    </row>
    <row r="46" spans="1:9" x14ac:dyDescent="0.25">
      <c r="A46" s="55">
        <v>46067</v>
      </c>
      <c r="B46" s="56" t="s">
        <v>105</v>
      </c>
      <c r="C46" s="56">
        <v>3</v>
      </c>
      <c r="D46" s="56">
        <v>5</v>
      </c>
      <c r="E46" s="56">
        <v>0</v>
      </c>
      <c r="F46" s="56">
        <v>0</v>
      </c>
      <c r="G46" s="57">
        <f t="shared" si="0"/>
        <v>-2</v>
      </c>
      <c r="H46" s="60"/>
      <c r="I46" s="59"/>
    </row>
    <row r="47" spans="1:9" x14ac:dyDescent="0.25">
      <c r="A47" s="55">
        <v>46068</v>
      </c>
      <c r="B47" s="56" t="s">
        <v>105</v>
      </c>
      <c r="C47" s="56">
        <v>9</v>
      </c>
      <c r="D47" s="56">
        <v>8</v>
      </c>
      <c r="E47" s="56">
        <v>0</v>
      </c>
      <c r="F47" s="56">
        <v>0</v>
      </c>
      <c r="G47" s="57">
        <f t="shared" si="0"/>
        <v>1</v>
      </c>
      <c r="H47" s="61"/>
      <c r="I47" s="59"/>
    </row>
    <row r="48" spans="1:9" x14ac:dyDescent="0.25">
      <c r="A48" s="55">
        <v>46069</v>
      </c>
      <c r="B48" s="56" t="s">
        <v>105</v>
      </c>
      <c r="C48" s="56">
        <v>2</v>
      </c>
      <c r="D48" s="56">
        <v>2</v>
      </c>
      <c r="E48" s="56">
        <v>0</v>
      </c>
      <c r="F48" s="56">
        <v>0</v>
      </c>
      <c r="G48" s="57">
        <f t="shared" si="0"/>
        <v>0</v>
      </c>
      <c r="H48" s="58">
        <f>SUM(G48:G54)</f>
        <v>0</v>
      </c>
      <c r="I48" s="59"/>
    </row>
    <row r="49" spans="1:9" x14ac:dyDescent="0.25">
      <c r="A49" s="55">
        <v>46070</v>
      </c>
      <c r="B49" s="56" t="s">
        <v>105</v>
      </c>
      <c r="C49" s="56">
        <v>2</v>
      </c>
      <c r="D49" s="56">
        <v>2</v>
      </c>
      <c r="E49" s="56">
        <v>0</v>
      </c>
      <c r="F49" s="56">
        <v>0</v>
      </c>
      <c r="G49" s="57">
        <f t="shared" si="0"/>
        <v>0</v>
      </c>
      <c r="H49" s="60"/>
      <c r="I49" s="59"/>
    </row>
    <row r="50" spans="1:9" x14ac:dyDescent="0.25">
      <c r="A50" s="55">
        <v>46071</v>
      </c>
      <c r="B50" s="56" t="s">
        <v>105</v>
      </c>
      <c r="C50" s="56">
        <v>0</v>
      </c>
      <c r="D50" s="56">
        <v>1</v>
      </c>
      <c r="E50" s="56">
        <v>0</v>
      </c>
      <c r="F50" s="56">
        <v>0</v>
      </c>
      <c r="G50" s="57">
        <f t="shared" si="0"/>
        <v>-1</v>
      </c>
      <c r="H50" s="60"/>
      <c r="I50" s="59"/>
    </row>
    <row r="51" spans="1:9" x14ac:dyDescent="0.25">
      <c r="A51" s="55">
        <v>46072</v>
      </c>
      <c r="B51" s="56" t="s">
        <v>105</v>
      </c>
      <c r="C51" s="56">
        <v>2</v>
      </c>
      <c r="D51" s="56">
        <v>0</v>
      </c>
      <c r="E51" s="56">
        <v>0</v>
      </c>
      <c r="F51" s="56">
        <v>0</v>
      </c>
      <c r="G51" s="57">
        <f t="shared" si="0"/>
        <v>2</v>
      </c>
      <c r="H51" s="60"/>
      <c r="I51" s="59"/>
    </row>
    <row r="52" spans="1:9" x14ac:dyDescent="0.25">
      <c r="A52" s="55">
        <v>46073</v>
      </c>
      <c r="B52" s="56" t="s">
        <v>105</v>
      </c>
      <c r="C52" s="56">
        <v>2</v>
      </c>
      <c r="D52" s="56">
        <v>1</v>
      </c>
      <c r="E52" s="56">
        <v>0</v>
      </c>
      <c r="F52" s="56">
        <v>0</v>
      </c>
      <c r="G52" s="57">
        <f t="shared" si="0"/>
        <v>1</v>
      </c>
      <c r="H52" s="60"/>
      <c r="I52" s="59"/>
    </row>
    <row r="53" spans="1:9" x14ac:dyDescent="0.25">
      <c r="A53" s="55">
        <v>46074</v>
      </c>
      <c r="B53" s="56" t="s">
        <v>105</v>
      </c>
      <c r="C53" s="56">
        <v>1</v>
      </c>
      <c r="D53" s="56">
        <v>2</v>
      </c>
      <c r="E53" s="56">
        <v>0</v>
      </c>
      <c r="F53" s="56">
        <v>0</v>
      </c>
      <c r="G53" s="57">
        <f t="shared" si="0"/>
        <v>-1</v>
      </c>
      <c r="H53" s="60"/>
      <c r="I53" s="59"/>
    </row>
    <row r="54" spans="1:9" x14ac:dyDescent="0.25">
      <c r="A54" s="55">
        <v>46075</v>
      </c>
      <c r="B54" s="56" t="s">
        <v>105</v>
      </c>
      <c r="C54" s="56">
        <v>1</v>
      </c>
      <c r="D54" s="56">
        <v>2</v>
      </c>
      <c r="E54" s="56">
        <v>0</v>
      </c>
      <c r="F54" s="56">
        <v>0</v>
      </c>
      <c r="G54" s="57">
        <f t="shared" si="0"/>
        <v>-1</v>
      </c>
      <c r="H54" s="61"/>
      <c r="I54" s="59"/>
    </row>
    <row r="55" spans="1:9" x14ac:dyDescent="0.25">
      <c r="A55" s="55">
        <v>46076</v>
      </c>
      <c r="B55" s="56" t="s">
        <v>105</v>
      </c>
      <c r="C55" s="56">
        <v>3</v>
      </c>
      <c r="D55" s="56">
        <v>4</v>
      </c>
      <c r="E55" s="56">
        <v>0</v>
      </c>
      <c r="F55" s="56">
        <v>0</v>
      </c>
      <c r="G55" s="57">
        <f t="shared" si="0"/>
        <v>-1</v>
      </c>
      <c r="H55" s="58">
        <f>SUM(G55:G61)</f>
        <v>-14</v>
      </c>
      <c r="I55" s="59"/>
    </row>
    <row r="56" spans="1:9" x14ac:dyDescent="0.25">
      <c r="A56" s="55">
        <v>46077</v>
      </c>
      <c r="B56" s="56" t="s">
        <v>105</v>
      </c>
      <c r="C56" s="56">
        <v>1</v>
      </c>
      <c r="D56" s="56">
        <v>3</v>
      </c>
      <c r="E56" s="56">
        <v>0</v>
      </c>
      <c r="F56" s="56">
        <v>0</v>
      </c>
      <c r="G56" s="57">
        <f t="shared" si="0"/>
        <v>-2</v>
      </c>
      <c r="H56" s="60"/>
      <c r="I56" s="59"/>
    </row>
    <row r="57" spans="1:9" x14ac:dyDescent="0.25">
      <c r="A57" s="55">
        <v>46078</v>
      </c>
      <c r="B57" s="56" t="s">
        <v>105</v>
      </c>
      <c r="C57" s="56">
        <v>2</v>
      </c>
      <c r="D57" s="56">
        <v>3</v>
      </c>
      <c r="E57" s="56">
        <v>0</v>
      </c>
      <c r="F57" s="56">
        <v>0</v>
      </c>
      <c r="G57" s="57">
        <f t="shared" si="0"/>
        <v>-1</v>
      </c>
      <c r="H57" s="60"/>
      <c r="I57" s="59"/>
    </row>
    <row r="58" spans="1:9" x14ac:dyDescent="0.25">
      <c r="A58" s="55">
        <v>46079</v>
      </c>
      <c r="B58" s="56" t="s">
        <v>105</v>
      </c>
      <c r="C58" s="56">
        <v>1</v>
      </c>
      <c r="D58" s="56">
        <v>2</v>
      </c>
      <c r="E58" s="56">
        <v>0</v>
      </c>
      <c r="F58" s="56">
        <v>0</v>
      </c>
      <c r="G58" s="57">
        <f t="shared" si="0"/>
        <v>-1</v>
      </c>
      <c r="H58" s="60"/>
      <c r="I58" s="59"/>
    </row>
    <row r="59" spans="1:9" x14ac:dyDescent="0.25">
      <c r="A59" s="55">
        <v>46080</v>
      </c>
      <c r="B59" s="56" t="s">
        <v>105</v>
      </c>
      <c r="C59" s="56">
        <v>4</v>
      </c>
      <c r="D59" s="56">
        <v>4</v>
      </c>
      <c r="E59" s="56">
        <v>0</v>
      </c>
      <c r="F59" s="56">
        <v>0</v>
      </c>
      <c r="G59" s="57">
        <f t="shared" si="0"/>
        <v>0</v>
      </c>
      <c r="H59" s="60"/>
      <c r="I59" s="59"/>
    </row>
    <row r="60" spans="1:9" x14ac:dyDescent="0.25">
      <c r="A60" s="55">
        <v>46081</v>
      </c>
      <c r="B60" s="56" t="s">
        <v>105</v>
      </c>
      <c r="C60" s="56">
        <v>1</v>
      </c>
      <c r="D60" s="56">
        <v>7</v>
      </c>
      <c r="E60" s="56">
        <v>0</v>
      </c>
      <c r="F60" s="56">
        <v>0</v>
      </c>
      <c r="G60" s="57">
        <f t="shared" si="0"/>
        <v>-6</v>
      </c>
      <c r="H60" s="60"/>
      <c r="I60" s="59"/>
    </row>
    <row r="61" spans="1:9" x14ac:dyDescent="0.25">
      <c r="A61" s="55">
        <v>46082</v>
      </c>
      <c r="B61" s="56" t="s">
        <v>105</v>
      </c>
      <c r="C61" s="56">
        <v>0</v>
      </c>
      <c r="D61" s="56">
        <v>3</v>
      </c>
      <c r="E61" s="56">
        <v>0</v>
      </c>
      <c r="F61" s="56">
        <v>0</v>
      </c>
      <c r="G61" s="57">
        <f t="shared" si="0"/>
        <v>-3</v>
      </c>
      <c r="H61" s="61"/>
      <c r="I61" s="59"/>
    </row>
    <row r="62" spans="1:9" x14ac:dyDescent="0.25">
      <c r="A62" s="55">
        <v>46083</v>
      </c>
      <c r="B62" s="56" t="s">
        <v>105</v>
      </c>
      <c r="C62" s="56">
        <v>3</v>
      </c>
      <c r="D62" s="56">
        <v>1</v>
      </c>
      <c r="E62" s="56">
        <v>0</v>
      </c>
      <c r="F62" s="56">
        <v>0</v>
      </c>
      <c r="G62" s="57">
        <f t="shared" si="0"/>
        <v>2</v>
      </c>
      <c r="H62" s="58">
        <f>SUM(G62:G68)</f>
        <v>5</v>
      </c>
      <c r="I62" s="59"/>
    </row>
    <row r="63" spans="1:9" x14ac:dyDescent="0.25">
      <c r="A63" s="55">
        <v>46084</v>
      </c>
      <c r="B63" s="56" t="s">
        <v>105</v>
      </c>
      <c r="C63" s="56">
        <v>4</v>
      </c>
      <c r="D63" s="56">
        <v>1</v>
      </c>
      <c r="E63" s="56">
        <v>2</v>
      </c>
      <c r="F63" s="56">
        <v>0</v>
      </c>
      <c r="G63" s="57">
        <f t="shared" si="0"/>
        <v>5</v>
      </c>
      <c r="H63" s="60"/>
      <c r="I63" s="59"/>
    </row>
    <row r="64" spans="1:9" x14ac:dyDescent="0.25">
      <c r="A64" s="55">
        <v>46085</v>
      </c>
      <c r="B64" s="56" t="s">
        <v>105</v>
      </c>
      <c r="C64" s="56">
        <v>1</v>
      </c>
      <c r="D64" s="56">
        <v>4</v>
      </c>
      <c r="E64" s="56">
        <v>0</v>
      </c>
      <c r="F64" s="56">
        <v>0</v>
      </c>
      <c r="G64" s="57">
        <f t="shared" si="0"/>
        <v>-3</v>
      </c>
      <c r="H64" s="60"/>
      <c r="I64" s="59"/>
    </row>
    <row r="65" spans="1:9" x14ac:dyDescent="0.25">
      <c r="A65" s="55">
        <v>46086</v>
      </c>
      <c r="B65" s="56" t="s">
        <v>105</v>
      </c>
      <c r="C65" s="56">
        <v>0</v>
      </c>
      <c r="D65" s="56">
        <v>1</v>
      </c>
      <c r="E65" s="56">
        <v>0</v>
      </c>
      <c r="F65" s="56">
        <v>0</v>
      </c>
      <c r="G65" s="57">
        <f t="shared" si="0"/>
        <v>-1</v>
      </c>
      <c r="H65" s="60"/>
      <c r="I65" s="59"/>
    </row>
    <row r="66" spans="1:9" x14ac:dyDescent="0.25">
      <c r="A66" s="55">
        <v>46087</v>
      </c>
      <c r="B66" s="56" t="s">
        <v>105</v>
      </c>
      <c r="C66" s="56">
        <v>2</v>
      </c>
      <c r="D66" s="56">
        <v>0</v>
      </c>
      <c r="E66" s="56">
        <v>0</v>
      </c>
      <c r="F66" s="56">
        <v>0</v>
      </c>
      <c r="G66" s="57">
        <f t="shared" si="0"/>
        <v>2</v>
      </c>
      <c r="H66" s="60"/>
      <c r="I66" s="59"/>
    </row>
    <row r="67" spans="1:9" x14ac:dyDescent="0.25">
      <c r="A67" s="55">
        <v>46088</v>
      </c>
      <c r="B67" s="56" t="s">
        <v>105</v>
      </c>
      <c r="C67" s="56">
        <v>4</v>
      </c>
      <c r="D67" s="56">
        <v>2</v>
      </c>
      <c r="E67" s="56">
        <v>0</v>
      </c>
      <c r="F67" s="56">
        <v>0</v>
      </c>
      <c r="G67" s="57">
        <f t="shared" ref="G67:G130" si="1">SUM(F67,E67,C67-D67)</f>
        <v>2</v>
      </c>
      <c r="H67" s="60"/>
      <c r="I67" s="59"/>
    </row>
    <row r="68" spans="1:9" x14ac:dyDescent="0.25">
      <c r="A68" s="55">
        <v>46089</v>
      </c>
      <c r="B68" s="56" t="s">
        <v>105</v>
      </c>
      <c r="C68" s="56">
        <v>0</v>
      </c>
      <c r="D68" s="56">
        <v>2</v>
      </c>
      <c r="E68" s="56">
        <v>0</v>
      </c>
      <c r="F68" s="56">
        <v>0</v>
      </c>
      <c r="G68" s="57">
        <f t="shared" si="1"/>
        <v>-2</v>
      </c>
      <c r="H68" s="61"/>
      <c r="I68" s="59"/>
    </row>
    <row r="69" spans="1:9" x14ac:dyDescent="0.25">
      <c r="A69" s="55">
        <v>46090</v>
      </c>
      <c r="B69" s="56" t="s">
        <v>105</v>
      </c>
      <c r="C69" s="56">
        <v>2</v>
      </c>
      <c r="D69" s="56">
        <v>1</v>
      </c>
      <c r="E69" s="56">
        <v>0</v>
      </c>
      <c r="F69" s="56">
        <v>0</v>
      </c>
      <c r="G69" s="57">
        <f t="shared" si="1"/>
        <v>1</v>
      </c>
      <c r="H69" s="58">
        <f>SUM(G69:G75)</f>
        <v>1</v>
      </c>
      <c r="I69" s="59"/>
    </row>
    <row r="70" spans="1:9" x14ac:dyDescent="0.25">
      <c r="A70" s="55">
        <v>46091</v>
      </c>
      <c r="B70" s="56" t="s">
        <v>105</v>
      </c>
      <c r="C70" s="56">
        <v>1</v>
      </c>
      <c r="D70" s="56">
        <v>1</v>
      </c>
      <c r="E70" s="56">
        <v>0</v>
      </c>
      <c r="F70" s="56">
        <v>0</v>
      </c>
      <c r="G70" s="57">
        <f t="shared" si="1"/>
        <v>0</v>
      </c>
      <c r="H70" s="60"/>
      <c r="I70" s="59"/>
    </row>
    <row r="71" spans="1:9" x14ac:dyDescent="0.25">
      <c r="A71" s="55">
        <v>46092</v>
      </c>
      <c r="B71" s="56" t="s">
        <v>105</v>
      </c>
      <c r="C71" s="56">
        <v>2</v>
      </c>
      <c r="D71" s="56">
        <v>3</v>
      </c>
      <c r="E71" s="56">
        <v>0</v>
      </c>
      <c r="F71" s="56">
        <v>0</v>
      </c>
      <c r="G71" s="57">
        <f t="shared" si="1"/>
        <v>-1</v>
      </c>
      <c r="H71" s="60"/>
      <c r="I71" s="59"/>
    </row>
    <row r="72" spans="1:9" x14ac:dyDescent="0.25">
      <c r="A72" s="55">
        <v>46093</v>
      </c>
      <c r="B72" s="56" t="s">
        <v>105</v>
      </c>
      <c r="C72" s="56">
        <v>1</v>
      </c>
      <c r="D72" s="56">
        <v>1</v>
      </c>
      <c r="E72" s="56">
        <v>0</v>
      </c>
      <c r="F72" s="56">
        <v>0</v>
      </c>
      <c r="G72" s="57">
        <f t="shared" si="1"/>
        <v>0</v>
      </c>
      <c r="H72" s="60"/>
      <c r="I72" s="59"/>
    </row>
    <row r="73" spans="1:9" x14ac:dyDescent="0.25">
      <c r="A73" s="55">
        <v>46094</v>
      </c>
      <c r="B73" s="56" t="s">
        <v>105</v>
      </c>
      <c r="C73" s="56">
        <v>1</v>
      </c>
      <c r="D73" s="56">
        <v>1</v>
      </c>
      <c r="E73" s="56">
        <v>0</v>
      </c>
      <c r="F73" s="56">
        <v>0</v>
      </c>
      <c r="G73" s="57">
        <f t="shared" si="1"/>
        <v>0</v>
      </c>
      <c r="H73" s="60"/>
      <c r="I73" s="59"/>
    </row>
    <row r="74" spans="1:9" x14ac:dyDescent="0.25">
      <c r="A74" s="55">
        <v>46095</v>
      </c>
      <c r="B74" s="56" t="s">
        <v>105</v>
      </c>
      <c r="C74" s="56">
        <v>0</v>
      </c>
      <c r="D74" s="56">
        <v>0</v>
      </c>
      <c r="E74" s="56">
        <v>0</v>
      </c>
      <c r="F74" s="56">
        <v>0</v>
      </c>
      <c r="G74" s="57">
        <f t="shared" si="1"/>
        <v>0</v>
      </c>
      <c r="H74" s="60"/>
      <c r="I74" s="59"/>
    </row>
    <row r="75" spans="1:9" x14ac:dyDescent="0.25">
      <c r="A75" s="55">
        <v>46096</v>
      </c>
      <c r="B75" s="56" t="s">
        <v>105</v>
      </c>
      <c r="C75" s="56">
        <v>1</v>
      </c>
      <c r="D75" s="56">
        <v>0</v>
      </c>
      <c r="E75" s="56">
        <v>0</v>
      </c>
      <c r="F75" s="56">
        <v>0</v>
      </c>
      <c r="G75" s="57">
        <f t="shared" si="1"/>
        <v>1</v>
      </c>
      <c r="H75" s="61"/>
      <c r="I75" s="59"/>
    </row>
    <row r="76" spans="1:9" x14ac:dyDescent="0.25">
      <c r="A76" s="55">
        <v>46097</v>
      </c>
      <c r="B76" s="56" t="s">
        <v>105</v>
      </c>
      <c r="C76" s="56">
        <v>2</v>
      </c>
      <c r="D76" s="56">
        <v>1</v>
      </c>
      <c r="E76" s="56">
        <v>0</v>
      </c>
      <c r="F76" s="56">
        <v>0</v>
      </c>
      <c r="G76" s="57">
        <f t="shared" si="1"/>
        <v>1</v>
      </c>
      <c r="H76" s="58">
        <f>SUM(G76:G82)</f>
        <v>-5</v>
      </c>
      <c r="I76" s="59"/>
    </row>
    <row r="77" spans="1:9" x14ac:dyDescent="0.25">
      <c r="A77" s="55">
        <v>46098</v>
      </c>
      <c r="B77" s="56" t="s">
        <v>105</v>
      </c>
      <c r="C77" s="56">
        <v>0</v>
      </c>
      <c r="D77" s="56">
        <v>1</v>
      </c>
      <c r="E77" s="56">
        <v>0</v>
      </c>
      <c r="F77" s="56">
        <v>0</v>
      </c>
      <c r="G77" s="57">
        <f t="shared" si="1"/>
        <v>-1</v>
      </c>
      <c r="H77" s="60"/>
      <c r="I77" s="59"/>
    </row>
    <row r="78" spans="1:9" x14ac:dyDescent="0.25">
      <c r="A78" s="55">
        <v>46099</v>
      </c>
      <c r="B78" s="56" t="s">
        <v>105</v>
      </c>
      <c r="C78" s="56">
        <v>0</v>
      </c>
      <c r="D78" s="56">
        <v>0</v>
      </c>
      <c r="E78" s="56">
        <v>0</v>
      </c>
      <c r="F78" s="56">
        <v>0</v>
      </c>
      <c r="G78" s="57">
        <f t="shared" si="1"/>
        <v>0</v>
      </c>
      <c r="H78" s="60"/>
      <c r="I78" s="59"/>
    </row>
    <row r="79" spans="1:9" x14ac:dyDescent="0.25">
      <c r="A79" s="55">
        <v>46100</v>
      </c>
      <c r="B79" s="56" t="s">
        <v>105</v>
      </c>
      <c r="C79" s="56">
        <v>0</v>
      </c>
      <c r="D79" s="56">
        <v>1</v>
      </c>
      <c r="E79" s="56">
        <v>0</v>
      </c>
      <c r="F79" s="56">
        <v>0</v>
      </c>
      <c r="G79" s="57">
        <f t="shared" si="1"/>
        <v>-1</v>
      </c>
      <c r="H79" s="60"/>
      <c r="I79" s="59"/>
    </row>
    <row r="80" spans="1:9" x14ac:dyDescent="0.25">
      <c r="A80" s="55">
        <v>46101</v>
      </c>
      <c r="B80" s="56" t="s">
        <v>105</v>
      </c>
      <c r="C80" s="56">
        <v>0</v>
      </c>
      <c r="D80" s="56">
        <v>2</v>
      </c>
      <c r="E80" s="56">
        <v>0</v>
      </c>
      <c r="F80" s="56">
        <v>0</v>
      </c>
      <c r="G80" s="57">
        <f t="shared" si="1"/>
        <v>-2</v>
      </c>
      <c r="H80" s="60"/>
      <c r="I80" s="59"/>
    </row>
    <row r="81" spans="1:9" x14ac:dyDescent="0.25">
      <c r="A81" s="55">
        <v>46102</v>
      </c>
      <c r="B81" s="56" t="s">
        <v>105</v>
      </c>
      <c r="C81" s="56">
        <v>2</v>
      </c>
      <c r="D81" s="56">
        <v>4</v>
      </c>
      <c r="E81" s="56">
        <v>0</v>
      </c>
      <c r="F81" s="56">
        <v>0</v>
      </c>
      <c r="G81" s="57">
        <f t="shared" si="1"/>
        <v>-2</v>
      </c>
      <c r="H81" s="60"/>
      <c r="I81" s="59"/>
    </row>
    <row r="82" spans="1:9" x14ac:dyDescent="0.25">
      <c r="A82" s="55">
        <v>46103</v>
      </c>
      <c r="B82" s="56" t="s">
        <v>105</v>
      </c>
      <c r="C82" s="56">
        <v>1</v>
      </c>
      <c r="D82" s="56">
        <v>1</v>
      </c>
      <c r="E82" s="56">
        <v>0</v>
      </c>
      <c r="F82" s="56">
        <v>0</v>
      </c>
      <c r="G82" s="57">
        <f t="shared" si="1"/>
        <v>0</v>
      </c>
      <c r="H82" s="61"/>
      <c r="I82" s="59"/>
    </row>
    <row r="83" spans="1:9" x14ac:dyDescent="0.25">
      <c r="A83" s="55">
        <v>46104</v>
      </c>
      <c r="B83" s="56" t="s">
        <v>105</v>
      </c>
      <c r="C83" s="56">
        <v>1</v>
      </c>
      <c r="D83" s="56">
        <v>1</v>
      </c>
      <c r="E83" s="56">
        <v>0</v>
      </c>
      <c r="F83" s="56">
        <v>0</v>
      </c>
      <c r="G83" s="57">
        <f t="shared" si="1"/>
        <v>0</v>
      </c>
      <c r="H83" s="58">
        <f>SUM(G83:G89)</f>
        <v>-2</v>
      </c>
      <c r="I83" s="59"/>
    </row>
    <row r="84" spans="1:9" x14ac:dyDescent="0.25">
      <c r="A84" s="55">
        <v>46105</v>
      </c>
      <c r="B84" s="56" t="s">
        <v>105</v>
      </c>
      <c r="C84" s="56">
        <v>1</v>
      </c>
      <c r="D84" s="56">
        <v>3</v>
      </c>
      <c r="E84" s="56">
        <v>0</v>
      </c>
      <c r="F84" s="56">
        <v>0</v>
      </c>
      <c r="G84" s="57">
        <f t="shared" si="1"/>
        <v>-2</v>
      </c>
      <c r="H84" s="60"/>
      <c r="I84" s="59"/>
    </row>
    <row r="85" spans="1:9" x14ac:dyDescent="0.25">
      <c r="A85" s="55">
        <v>46106</v>
      </c>
      <c r="B85" s="56" t="s">
        <v>105</v>
      </c>
      <c r="C85" s="56">
        <v>0</v>
      </c>
      <c r="D85" s="56">
        <v>1</v>
      </c>
      <c r="E85" s="56">
        <v>0</v>
      </c>
      <c r="F85" s="56">
        <v>0</v>
      </c>
      <c r="G85" s="57">
        <f t="shared" si="1"/>
        <v>-1</v>
      </c>
      <c r="H85" s="60"/>
      <c r="I85" s="59"/>
    </row>
    <row r="86" spans="1:9" x14ac:dyDescent="0.25">
      <c r="A86" s="55">
        <v>46107</v>
      </c>
      <c r="B86" s="56" t="s">
        <v>105</v>
      </c>
      <c r="C86" s="56">
        <v>0</v>
      </c>
      <c r="D86" s="56">
        <v>1</v>
      </c>
      <c r="E86" s="56">
        <v>0</v>
      </c>
      <c r="F86" s="56">
        <v>0</v>
      </c>
      <c r="G86" s="57">
        <f t="shared" si="1"/>
        <v>-1</v>
      </c>
      <c r="H86" s="60"/>
      <c r="I86" s="59"/>
    </row>
    <row r="87" spans="1:9" x14ac:dyDescent="0.25">
      <c r="A87" s="55">
        <v>46108</v>
      </c>
      <c r="B87" s="56" t="s">
        <v>105</v>
      </c>
      <c r="C87" s="56">
        <v>3</v>
      </c>
      <c r="D87" s="56">
        <v>2</v>
      </c>
      <c r="E87" s="56">
        <v>0</v>
      </c>
      <c r="F87" s="56">
        <v>0</v>
      </c>
      <c r="G87" s="57">
        <f t="shared" si="1"/>
        <v>1</v>
      </c>
      <c r="H87" s="60"/>
      <c r="I87" s="59"/>
    </row>
    <row r="88" spans="1:9" x14ac:dyDescent="0.25">
      <c r="A88" s="55">
        <v>46109</v>
      </c>
      <c r="B88" s="56" t="s">
        <v>105</v>
      </c>
      <c r="C88" s="56">
        <v>4</v>
      </c>
      <c r="D88" s="56">
        <v>2</v>
      </c>
      <c r="E88" s="56">
        <v>0</v>
      </c>
      <c r="F88" s="56">
        <v>0</v>
      </c>
      <c r="G88" s="57">
        <f t="shared" si="1"/>
        <v>2</v>
      </c>
      <c r="H88" s="60"/>
      <c r="I88" s="59"/>
    </row>
    <row r="89" spans="1:9" x14ac:dyDescent="0.25">
      <c r="A89" s="55">
        <v>46110</v>
      </c>
      <c r="B89" s="56" t="s">
        <v>105</v>
      </c>
      <c r="C89" s="56">
        <v>1</v>
      </c>
      <c r="D89" s="56">
        <v>2</v>
      </c>
      <c r="E89" s="56">
        <v>0</v>
      </c>
      <c r="F89" s="56">
        <v>0</v>
      </c>
      <c r="G89" s="57">
        <f t="shared" si="1"/>
        <v>-1</v>
      </c>
      <c r="H89" s="61"/>
      <c r="I89" s="59"/>
    </row>
    <row r="90" spans="1:9" x14ac:dyDescent="0.25">
      <c r="A90" s="55">
        <v>46111</v>
      </c>
      <c r="B90" s="56" t="s">
        <v>105</v>
      </c>
      <c r="C90" s="56">
        <v>0</v>
      </c>
      <c r="D90" s="56">
        <v>0</v>
      </c>
      <c r="E90" s="56">
        <v>0</v>
      </c>
      <c r="F90" s="56">
        <v>0</v>
      </c>
      <c r="G90" s="57">
        <f t="shared" si="1"/>
        <v>0</v>
      </c>
      <c r="H90" s="58">
        <f>SUM(G90:G96)</f>
        <v>8</v>
      </c>
      <c r="I90" s="59"/>
    </row>
    <row r="91" spans="1:9" x14ac:dyDescent="0.25">
      <c r="A91" s="55">
        <v>46112</v>
      </c>
      <c r="B91" s="56" t="s">
        <v>105</v>
      </c>
      <c r="C91" s="56">
        <v>2</v>
      </c>
      <c r="D91" s="56">
        <v>0</v>
      </c>
      <c r="E91" s="56">
        <v>0</v>
      </c>
      <c r="F91" s="56">
        <v>0</v>
      </c>
      <c r="G91" s="57">
        <f t="shared" si="1"/>
        <v>2</v>
      </c>
      <c r="H91" s="60"/>
      <c r="I91" s="59"/>
    </row>
    <row r="92" spans="1:9" x14ac:dyDescent="0.25">
      <c r="A92" s="55">
        <v>46113</v>
      </c>
      <c r="B92" s="56" t="s">
        <v>105</v>
      </c>
      <c r="C92" s="56">
        <v>5</v>
      </c>
      <c r="D92" s="56">
        <v>3</v>
      </c>
      <c r="E92" s="56">
        <v>0</v>
      </c>
      <c r="F92" s="56">
        <v>0</v>
      </c>
      <c r="G92" s="57">
        <f t="shared" si="1"/>
        <v>2</v>
      </c>
      <c r="H92" s="60"/>
      <c r="I92" s="59"/>
    </row>
    <row r="93" spans="1:9" x14ac:dyDescent="0.25">
      <c r="A93" s="55">
        <v>46114</v>
      </c>
      <c r="B93" s="56" t="s">
        <v>105</v>
      </c>
      <c r="C93" s="56">
        <v>9</v>
      </c>
      <c r="D93" s="56">
        <v>1</v>
      </c>
      <c r="E93" s="56">
        <v>0</v>
      </c>
      <c r="F93" s="56">
        <v>0</v>
      </c>
      <c r="G93" s="57">
        <f t="shared" si="1"/>
        <v>8</v>
      </c>
      <c r="H93" s="60"/>
      <c r="I93" s="59"/>
    </row>
    <row r="94" spans="1:9" x14ac:dyDescent="0.25">
      <c r="A94" s="55">
        <v>46115</v>
      </c>
      <c r="B94" s="56" t="s">
        <v>105</v>
      </c>
      <c r="C94" s="56">
        <v>1</v>
      </c>
      <c r="D94" s="56">
        <v>0</v>
      </c>
      <c r="E94" s="56">
        <v>0</v>
      </c>
      <c r="F94" s="56">
        <v>0</v>
      </c>
      <c r="G94" s="57">
        <f t="shared" si="1"/>
        <v>1</v>
      </c>
      <c r="H94" s="60"/>
      <c r="I94" s="59"/>
    </row>
    <row r="95" spans="1:9" x14ac:dyDescent="0.25">
      <c r="A95" s="55">
        <v>46116</v>
      </c>
      <c r="B95" s="56" t="s">
        <v>105</v>
      </c>
      <c r="C95" s="56">
        <v>0</v>
      </c>
      <c r="D95" s="56">
        <v>2</v>
      </c>
      <c r="E95" s="56">
        <v>0</v>
      </c>
      <c r="F95" s="56">
        <v>0</v>
      </c>
      <c r="G95" s="57">
        <f t="shared" si="1"/>
        <v>-2</v>
      </c>
      <c r="H95" s="60"/>
      <c r="I95" s="59"/>
    </row>
    <row r="96" spans="1:9" x14ac:dyDescent="0.25">
      <c r="A96" s="55">
        <v>46117</v>
      </c>
      <c r="B96" s="56" t="s">
        <v>105</v>
      </c>
      <c r="C96" s="56">
        <v>1</v>
      </c>
      <c r="D96" s="56">
        <v>4</v>
      </c>
      <c r="E96" s="56">
        <v>0</v>
      </c>
      <c r="F96" s="56">
        <v>0</v>
      </c>
      <c r="G96" s="57">
        <f t="shared" si="1"/>
        <v>-3</v>
      </c>
      <c r="H96" s="61"/>
      <c r="I96" s="59"/>
    </row>
    <row r="97" spans="1:9" x14ac:dyDescent="0.25">
      <c r="A97" s="55">
        <v>46118</v>
      </c>
      <c r="B97" s="56" t="s">
        <v>105</v>
      </c>
      <c r="C97" s="56">
        <v>1</v>
      </c>
      <c r="D97" s="56">
        <v>2</v>
      </c>
      <c r="E97" s="56">
        <v>0</v>
      </c>
      <c r="F97" s="56">
        <v>0</v>
      </c>
      <c r="G97" s="57">
        <f t="shared" si="1"/>
        <v>-1</v>
      </c>
      <c r="H97" s="58">
        <f>SUM(G97:G103)</f>
        <v>8</v>
      </c>
      <c r="I97" s="59"/>
    </row>
    <row r="98" spans="1:9" x14ac:dyDescent="0.25">
      <c r="A98" s="55">
        <v>46119</v>
      </c>
      <c r="B98" s="56" t="s">
        <v>105</v>
      </c>
      <c r="C98" s="56">
        <v>1</v>
      </c>
      <c r="D98" s="56">
        <v>0</v>
      </c>
      <c r="E98" s="56">
        <v>0</v>
      </c>
      <c r="F98" s="56">
        <v>0</v>
      </c>
      <c r="G98" s="57">
        <f t="shared" si="1"/>
        <v>1</v>
      </c>
      <c r="H98" s="60"/>
      <c r="I98" s="59"/>
    </row>
    <row r="99" spans="1:9" x14ac:dyDescent="0.25">
      <c r="A99" s="55">
        <v>46120</v>
      </c>
      <c r="B99" s="56" t="s">
        <v>105</v>
      </c>
      <c r="C99" s="56">
        <v>1</v>
      </c>
      <c r="D99" s="56">
        <v>2</v>
      </c>
      <c r="E99" s="56">
        <v>0</v>
      </c>
      <c r="F99" s="56">
        <v>0</v>
      </c>
      <c r="G99" s="57">
        <f t="shared" si="1"/>
        <v>-1</v>
      </c>
      <c r="H99" s="60"/>
      <c r="I99" s="59"/>
    </row>
    <row r="100" spans="1:9" x14ac:dyDescent="0.25">
      <c r="A100" s="55">
        <v>46121</v>
      </c>
      <c r="B100" s="56" t="s">
        <v>105</v>
      </c>
      <c r="C100" s="56">
        <v>7</v>
      </c>
      <c r="D100" s="56">
        <v>2</v>
      </c>
      <c r="E100" s="56">
        <v>0</v>
      </c>
      <c r="F100" s="56">
        <v>0</v>
      </c>
      <c r="G100" s="57">
        <f t="shared" si="1"/>
        <v>5</v>
      </c>
      <c r="H100" s="60"/>
      <c r="I100" s="59"/>
    </row>
    <row r="101" spans="1:9" x14ac:dyDescent="0.25">
      <c r="A101" s="55">
        <v>46122</v>
      </c>
      <c r="B101" s="56" t="s">
        <v>105</v>
      </c>
      <c r="C101" s="56">
        <v>4</v>
      </c>
      <c r="D101" s="56">
        <v>2</v>
      </c>
      <c r="E101" s="56">
        <v>0</v>
      </c>
      <c r="F101" s="56">
        <v>0</v>
      </c>
      <c r="G101" s="57">
        <f t="shared" si="1"/>
        <v>2</v>
      </c>
      <c r="H101" s="60"/>
      <c r="I101" s="59"/>
    </row>
    <row r="102" spans="1:9" x14ac:dyDescent="0.25">
      <c r="A102" s="55">
        <v>46123</v>
      </c>
      <c r="B102" s="56" t="s">
        <v>105</v>
      </c>
      <c r="C102" s="56">
        <v>2</v>
      </c>
      <c r="D102" s="56">
        <v>0</v>
      </c>
      <c r="E102" s="56">
        <v>0</v>
      </c>
      <c r="F102" s="56">
        <v>0</v>
      </c>
      <c r="G102" s="57">
        <f t="shared" si="1"/>
        <v>2</v>
      </c>
      <c r="H102" s="60"/>
      <c r="I102" s="59"/>
    </row>
    <row r="103" spans="1:9" x14ac:dyDescent="0.25">
      <c r="A103" s="55">
        <v>46124</v>
      </c>
      <c r="B103" s="56" t="s">
        <v>105</v>
      </c>
      <c r="C103" s="56">
        <v>3</v>
      </c>
      <c r="D103" s="56">
        <v>3</v>
      </c>
      <c r="E103" s="56">
        <v>0</v>
      </c>
      <c r="F103" s="56">
        <v>0</v>
      </c>
      <c r="G103" s="57">
        <f t="shared" si="1"/>
        <v>0</v>
      </c>
      <c r="H103" s="61"/>
      <c r="I103" s="59"/>
    </row>
    <row r="104" spans="1:9" x14ac:dyDescent="0.25">
      <c r="A104" s="55">
        <v>46125</v>
      </c>
      <c r="B104" s="56" t="s">
        <v>105</v>
      </c>
      <c r="C104" s="62">
        <v>1</v>
      </c>
      <c r="D104" s="62">
        <v>4</v>
      </c>
      <c r="E104" s="62">
        <v>0</v>
      </c>
      <c r="F104" s="62">
        <v>0</v>
      </c>
      <c r="G104" s="57">
        <f>SUM(F104,E104,C104-D104)</f>
        <v>-3</v>
      </c>
      <c r="H104" s="58">
        <f>SUM(G104:G110)</f>
        <v>-4</v>
      </c>
      <c r="I104" s="59"/>
    </row>
    <row r="105" spans="1:9" x14ac:dyDescent="0.25">
      <c r="A105" s="55">
        <v>46126</v>
      </c>
      <c r="B105" s="56" t="s">
        <v>105</v>
      </c>
      <c r="C105" s="62">
        <v>1</v>
      </c>
      <c r="D105" s="62">
        <v>1</v>
      </c>
      <c r="E105" s="62">
        <v>0</v>
      </c>
      <c r="F105" s="62">
        <v>0</v>
      </c>
      <c r="G105" s="57">
        <f t="shared" si="1"/>
        <v>0</v>
      </c>
      <c r="H105" s="60"/>
      <c r="I105" s="59"/>
    </row>
    <row r="106" spans="1:9" x14ac:dyDescent="0.25">
      <c r="A106" s="55">
        <v>46127</v>
      </c>
      <c r="B106" s="56" t="s">
        <v>105</v>
      </c>
      <c r="C106" s="62">
        <v>0</v>
      </c>
      <c r="D106" s="62">
        <v>2</v>
      </c>
      <c r="E106" s="62">
        <v>0</v>
      </c>
      <c r="F106" s="62">
        <v>0</v>
      </c>
      <c r="G106" s="57">
        <f t="shared" si="1"/>
        <v>-2</v>
      </c>
      <c r="H106" s="60"/>
      <c r="I106" s="59"/>
    </row>
    <row r="107" spans="1:9" x14ac:dyDescent="0.25">
      <c r="A107" s="55">
        <v>46128</v>
      </c>
      <c r="B107" s="56" t="s">
        <v>105</v>
      </c>
      <c r="C107" s="62">
        <v>5</v>
      </c>
      <c r="D107" s="62">
        <v>4</v>
      </c>
      <c r="E107" s="62">
        <v>0</v>
      </c>
      <c r="F107" s="62">
        <v>0</v>
      </c>
      <c r="G107" s="57">
        <f t="shared" si="1"/>
        <v>1</v>
      </c>
      <c r="H107" s="60"/>
      <c r="I107" s="59"/>
    </row>
    <row r="108" spans="1:9" x14ac:dyDescent="0.25">
      <c r="A108" s="55">
        <v>46129</v>
      </c>
      <c r="B108" s="56" t="s">
        <v>105</v>
      </c>
      <c r="C108" s="62">
        <v>1</v>
      </c>
      <c r="D108" s="62">
        <v>1</v>
      </c>
      <c r="E108" s="62">
        <v>0</v>
      </c>
      <c r="F108" s="62">
        <v>0</v>
      </c>
      <c r="G108" s="57">
        <f t="shared" si="1"/>
        <v>0</v>
      </c>
      <c r="H108" s="60"/>
      <c r="I108" s="59"/>
    </row>
    <row r="109" spans="1:9" x14ac:dyDescent="0.25">
      <c r="A109" s="55">
        <v>46130</v>
      </c>
      <c r="B109" s="56" t="s">
        <v>105</v>
      </c>
      <c r="C109" s="62">
        <v>1</v>
      </c>
      <c r="D109" s="62">
        <v>1</v>
      </c>
      <c r="E109" s="62">
        <v>0</v>
      </c>
      <c r="F109" s="62">
        <v>0</v>
      </c>
      <c r="G109" s="57">
        <f t="shared" si="1"/>
        <v>0</v>
      </c>
      <c r="H109" s="60"/>
      <c r="I109" s="59"/>
    </row>
    <row r="110" spans="1:9" x14ac:dyDescent="0.25">
      <c r="A110" s="55">
        <v>46131</v>
      </c>
      <c r="B110" s="56" t="s">
        <v>105</v>
      </c>
      <c r="C110" s="56">
        <v>1</v>
      </c>
      <c r="D110" s="56">
        <v>1</v>
      </c>
      <c r="E110" s="56">
        <v>0</v>
      </c>
      <c r="F110" s="56">
        <v>0</v>
      </c>
      <c r="G110" s="57">
        <f t="shared" si="1"/>
        <v>0</v>
      </c>
      <c r="H110" s="61"/>
      <c r="I110" s="59"/>
    </row>
    <row r="111" spans="1:9" x14ac:dyDescent="0.25">
      <c r="A111" s="55">
        <v>46132</v>
      </c>
      <c r="B111" s="56" t="s">
        <v>105</v>
      </c>
      <c r="C111" s="56">
        <v>0</v>
      </c>
      <c r="D111" s="56">
        <v>4</v>
      </c>
      <c r="E111" s="56">
        <v>0</v>
      </c>
      <c r="F111" s="56">
        <v>0</v>
      </c>
      <c r="G111" s="57">
        <f t="shared" si="1"/>
        <v>-4</v>
      </c>
      <c r="H111" s="58">
        <f>SUM(G111:G117)</f>
        <v>-2</v>
      </c>
      <c r="I111" s="59"/>
    </row>
    <row r="112" spans="1:9" x14ac:dyDescent="0.25">
      <c r="A112" s="55">
        <v>46133</v>
      </c>
      <c r="B112" s="56" t="s">
        <v>105</v>
      </c>
      <c r="C112" s="56">
        <v>1</v>
      </c>
      <c r="D112" s="56">
        <v>1</v>
      </c>
      <c r="E112" s="56">
        <v>0</v>
      </c>
      <c r="F112" s="56">
        <v>0</v>
      </c>
      <c r="G112" s="57">
        <f t="shared" si="1"/>
        <v>0</v>
      </c>
      <c r="H112" s="60"/>
      <c r="I112" s="59"/>
    </row>
    <row r="113" spans="1:9" x14ac:dyDescent="0.25">
      <c r="A113" s="55">
        <v>46134</v>
      </c>
      <c r="B113" s="56" t="s">
        <v>105</v>
      </c>
      <c r="C113" s="56">
        <v>0</v>
      </c>
      <c r="D113" s="56">
        <v>2</v>
      </c>
      <c r="E113" s="56">
        <v>0</v>
      </c>
      <c r="F113" s="56">
        <v>0</v>
      </c>
      <c r="G113" s="57">
        <f t="shared" si="1"/>
        <v>-2</v>
      </c>
      <c r="H113" s="60"/>
      <c r="I113" s="59"/>
    </row>
    <row r="114" spans="1:9" x14ac:dyDescent="0.25">
      <c r="A114" s="55">
        <v>46135</v>
      </c>
      <c r="B114" s="56" t="s">
        <v>105</v>
      </c>
      <c r="C114" s="56">
        <v>2</v>
      </c>
      <c r="D114" s="56">
        <v>1</v>
      </c>
      <c r="E114" s="56">
        <v>0</v>
      </c>
      <c r="F114" s="56">
        <v>0</v>
      </c>
      <c r="G114" s="57">
        <f t="shared" si="1"/>
        <v>1</v>
      </c>
      <c r="H114" s="60"/>
      <c r="I114" s="59"/>
    </row>
    <row r="115" spans="1:9" x14ac:dyDescent="0.25">
      <c r="A115" s="55">
        <v>46136</v>
      </c>
      <c r="B115" s="56" t="s">
        <v>105</v>
      </c>
      <c r="C115" s="56">
        <v>2</v>
      </c>
      <c r="D115" s="56">
        <v>2</v>
      </c>
      <c r="E115" s="56">
        <v>0</v>
      </c>
      <c r="F115" s="56">
        <v>0</v>
      </c>
      <c r="G115" s="57">
        <f t="shared" si="1"/>
        <v>0</v>
      </c>
      <c r="H115" s="60"/>
      <c r="I115" s="59"/>
    </row>
    <row r="116" spans="1:9" x14ac:dyDescent="0.25">
      <c r="A116" s="55">
        <v>46137</v>
      </c>
      <c r="B116" s="56" t="s">
        <v>105</v>
      </c>
      <c r="C116" s="56">
        <v>1</v>
      </c>
      <c r="D116" s="56">
        <v>0</v>
      </c>
      <c r="E116" s="56">
        <v>0</v>
      </c>
      <c r="F116" s="56">
        <v>0</v>
      </c>
      <c r="G116" s="57">
        <f t="shared" si="1"/>
        <v>1</v>
      </c>
      <c r="H116" s="60"/>
      <c r="I116" s="59"/>
    </row>
    <row r="117" spans="1:9" x14ac:dyDescent="0.25">
      <c r="A117" s="55">
        <v>46138</v>
      </c>
      <c r="B117" s="56" t="s">
        <v>105</v>
      </c>
      <c r="C117" s="56">
        <v>2</v>
      </c>
      <c r="D117" s="56">
        <v>0</v>
      </c>
      <c r="E117" s="56">
        <v>0</v>
      </c>
      <c r="F117" s="56">
        <v>0</v>
      </c>
      <c r="G117" s="57">
        <f t="shared" si="1"/>
        <v>2</v>
      </c>
      <c r="H117" s="61"/>
      <c r="I117" s="59"/>
    </row>
    <row r="118" spans="1:9" x14ac:dyDescent="0.25">
      <c r="A118" s="55">
        <v>46139</v>
      </c>
      <c r="B118" s="56" t="s">
        <v>105</v>
      </c>
      <c r="C118" s="56">
        <v>6</v>
      </c>
      <c r="D118" s="56">
        <v>1</v>
      </c>
      <c r="E118" s="56">
        <v>0</v>
      </c>
      <c r="F118" s="56">
        <v>0</v>
      </c>
      <c r="G118" s="57">
        <f t="shared" si="1"/>
        <v>5</v>
      </c>
      <c r="H118" s="58">
        <f>SUM(G118:G124)</f>
        <v>15</v>
      </c>
      <c r="I118" s="59"/>
    </row>
    <row r="119" spans="1:9" x14ac:dyDescent="0.25">
      <c r="A119" s="55">
        <v>46140</v>
      </c>
      <c r="B119" s="56" t="s">
        <v>105</v>
      </c>
      <c r="C119" s="56">
        <v>4</v>
      </c>
      <c r="D119" s="56">
        <v>2</v>
      </c>
      <c r="E119" s="56">
        <v>0</v>
      </c>
      <c r="F119" s="56">
        <v>0</v>
      </c>
      <c r="G119" s="57">
        <f t="shared" si="1"/>
        <v>2</v>
      </c>
      <c r="H119" s="60"/>
      <c r="I119" s="59"/>
    </row>
    <row r="120" spans="1:9" x14ac:dyDescent="0.25">
      <c r="A120" s="55">
        <v>46141</v>
      </c>
      <c r="B120" s="56" t="s">
        <v>105</v>
      </c>
      <c r="C120" s="56">
        <v>3</v>
      </c>
      <c r="D120" s="56">
        <v>3</v>
      </c>
      <c r="E120" s="56">
        <v>0</v>
      </c>
      <c r="F120" s="56">
        <v>0</v>
      </c>
      <c r="G120" s="57">
        <f t="shared" si="1"/>
        <v>0</v>
      </c>
      <c r="H120" s="60"/>
      <c r="I120" s="59"/>
    </row>
    <row r="121" spans="1:9" x14ac:dyDescent="0.25">
      <c r="A121" s="55">
        <v>46142</v>
      </c>
      <c r="B121" s="56" t="s">
        <v>105</v>
      </c>
      <c r="C121" s="56">
        <v>4</v>
      </c>
      <c r="D121" s="56">
        <v>1</v>
      </c>
      <c r="E121" s="56">
        <v>0</v>
      </c>
      <c r="F121" s="56">
        <v>0</v>
      </c>
      <c r="G121" s="57">
        <f t="shared" si="1"/>
        <v>3</v>
      </c>
      <c r="H121" s="60"/>
      <c r="I121" s="59"/>
    </row>
    <row r="122" spans="1:9" x14ac:dyDescent="0.25">
      <c r="A122" s="55">
        <v>46143</v>
      </c>
      <c r="B122" s="56" t="s">
        <v>105</v>
      </c>
      <c r="C122" s="56">
        <v>3</v>
      </c>
      <c r="D122" s="56">
        <v>1</v>
      </c>
      <c r="E122" s="56">
        <v>0</v>
      </c>
      <c r="F122" s="56">
        <v>0</v>
      </c>
      <c r="G122" s="57">
        <f t="shared" si="1"/>
        <v>2</v>
      </c>
      <c r="H122" s="60"/>
      <c r="I122" s="59"/>
    </row>
    <row r="123" spans="1:9" x14ac:dyDescent="0.25">
      <c r="A123" s="55">
        <v>46144</v>
      </c>
      <c r="B123" s="56" t="s">
        <v>105</v>
      </c>
      <c r="C123" s="56">
        <v>2</v>
      </c>
      <c r="D123" s="56">
        <v>1</v>
      </c>
      <c r="E123" s="56">
        <v>0</v>
      </c>
      <c r="F123" s="56">
        <v>0</v>
      </c>
      <c r="G123" s="57">
        <f t="shared" si="1"/>
        <v>1</v>
      </c>
      <c r="H123" s="60"/>
      <c r="I123" s="59"/>
    </row>
    <row r="124" spans="1:9" x14ac:dyDescent="0.25">
      <c r="A124" s="55">
        <v>46145</v>
      </c>
      <c r="B124" s="56" t="s">
        <v>105</v>
      </c>
      <c r="C124" s="56">
        <v>2</v>
      </c>
      <c r="D124" s="56">
        <v>0</v>
      </c>
      <c r="E124" s="56">
        <v>0</v>
      </c>
      <c r="F124" s="56">
        <v>0</v>
      </c>
      <c r="G124" s="57">
        <f t="shared" si="1"/>
        <v>2</v>
      </c>
      <c r="H124" s="61"/>
      <c r="I124" s="59"/>
    </row>
    <row r="125" spans="1:9" x14ac:dyDescent="0.25">
      <c r="A125" s="55">
        <v>46146</v>
      </c>
      <c r="B125" s="56" t="s">
        <v>105</v>
      </c>
      <c r="C125" s="56">
        <v>0</v>
      </c>
      <c r="D125" s="56">
        <v>0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</row>
    <row r="126" spans="1:9" x14ac:dyDescent="0.25">
      <c r="A126" s="55">
        <v>46147</v>
      </c>
      <c r="B126" s="56" t="s">
        <v>105</v>
      </c>
      <c r="C126" s="56">
        <v>0</v>
      </c>
      <c r="D126" s="56">
        <v>0</v>
      </c>
      <c r="E126" s="56">
        <v>0</v>
      </c>
      <c r="F126" s="56">
        <v>0</v>
      </c>
      <c r="G126" s="57">
        <f t="shared" si="1"/>
        <v>0</v>
      </c>
      <c r="H126" s="60"/>
      <c r="I126" s="59"/>
    </row>
    <row r="127" spans="1:9" x14ac:dyDescent="0.25">
      <c r="A127" s="55">
        <v>46148</v>
      </c>
      <c r="B127" s="56" t="s">
        <v>105</v>
      </c>
      <c r="C127" s="56">
        <v>0</v>
      </c>
      <c r="D127" s="56">
        <v>0</v>
      </c>
      <c r="E127" s="56">
        <v>0</v>
      </c>
      <c r="F127" s="56">
        <v>0</v>
      </c>
      <c r="G127" s="57">
        <f t="shared" si="1"/>
        <v>0</v>
      </c>
      <c r="H127" s="60"/>
      <c r="I127" s="59"/>
    </row>
    <row r="128" spans="1:9" x14ac:dyDescent="0.25">
      <c r="A128" s="55">
        <v>46149</v>
      </c>
      <c r="B128" s="56" t="s">
        <v>105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</row>
    <row r="129" spans="1:9" x14ac:dyDescent="0.25">
      <c r="A129" s="55">
        <v>46150</v>
      </c>
      <c r="B129" s="56" t="s">
        <v>105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</row>
    <row r="130" spans="1:9" x14ac:dyDescent="0.25">
      <c r="A130" s="55">
        <v>46151</v>
      </c>
      <c r="B130" s="56" t="s">
        <v>105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</row>
    <row r="131" spans="1:9" x14ac:dyDescent="0.25">
      <c r="A131" s="55">
        <v>46152</v>
      </c>
      <c r="B131" s="56" t="s">
        <v>105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SUM(F131,E131,C131-D131)</f>
        <v>0</v>
      </c>
      <c r="H131" s="61"/>
      <c r="I131" s="59"/>
    </row>
    <row r="132" spans="1:9" x14ac:dyDescent="0.25">
      <c r="A132" s="55">
        <v>46153</v>
      </c>
      <c r="B132" s="56" t="s">
        <v>105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>SUM(G132:G138)</f>
        <v>0</v>
      </c>
      <c r="I132" s="59"/>
    </row>
    <row r="133" spans="1:9" x14ac:dyDescent="0.25">
      <c r="A133" s="55">
        <v>46154</v>
      </c>
      <c r="B133" s="56" t="s">
        <v>105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</row>
    <row r="134" spans="1:9" x14ac:dyDescent="0.25">
      <c r="A134" s="55">
        <v>46155</v>
      </c>
      <c r="B134" s="56" t="s">
        <v>105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</row>
    <row r="135" spans="1:9" x14ac:dyDescent="0.25">
      <c r="A135" s="55">
        <v>46156</v>
      </c>
      <c r="B135" s="56" t="s">
        <v>105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</row>
    <row r="136" spans="1:9" x14ac:dyDescent="0.25">
      <c r="A136" s="55">
        <v>46157</v>
      </c>
      <c r="B136" s="56" t="s">
        <v>105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</row>
    <row r="137" spans="1:9" x14ac:dyDescent="0.25">
      <c r="A137" s="55">
        <v>46158</v>
      </c>
      <c r="B137" s="56" t="s">
        <v>105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</row>
    <row r="138" spans="1:9" x14ac:dyDescent="0.25">
      <c r="A138" s="55">
        <v>46159</v>
      </c>
      <c r="B138" s="56" t="s">
        <v>105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</row>
    <row r="139" spans="1:9" x14ac:dyDescent="0.25">
      <c r="A139" s="55">
        <v>46160</v>
      </c>
      <c r="B139" s="56" t="s">
        <v>105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>SUM(G139:G145)</f>
        <v>0</v>
      </c>
      <c r="I139" s="59"/>
    </row>
    <row r="140" spans="1:9" x14ac:dyDescent="0.25">
      <c r="A140" s="55">
        <v>46161</v>
      </c>
      <c r="B140" s="56" t="s">
        <v>105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</row>
    <row r="141" spans="1:9" x14ac:dyDescent="0.25">
      <c r="A141" s="55">
        <v>46162</v>
      </c>
      <c r="B141" s="56" t="s">
        <v>105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</row>
    <row r="142" spans="1:9" x14ac:dyDescent="0.25">
      <c r="A142" s="55">
        <v>46163</v>
      </c>
      <c r="B142" s="56" t="s">
        <v>105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</row>
    <row r="143" spans="1:9" x14ac:dyDescent="0.25">
      <c r="A143" s="55">
        <v>46164</v>
      </c>
      <c r="B143" s="56" t="s">
        <v>105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</row>
    <row r="144" spans="1:9" x14ac:dyDescent="0.25">
      <c r="A144" s="55">
        <v>46165</v>
      </c>
      <c r="B144" s="56" t="s">
        <v>105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</row>
    <row r="145" spans="1:9" x14ac:dyDescent="0.25">
      <c r="A145" s="55">
        <v>46166</v>
      </c>
      <c r="B145" s="56" t="s">
        <v>105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</row>
    <row r="146" spans="1:9" x14ac:dyDescent="0.25">
      <c r="A146" s="55">
        <v>46167</v>
      </c>
      <c r="B146" s="56" t="s">
        <v>105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>SUM(G146:G152)</f>
        <v>0</v>
      </c>
      <c r="I146" s="59"/>
    </row>
    <row r="147" spans="1:9" x14ac:dyDescent="0.25">
      <c r="A147" s="55">
        <v>46168</v>
      </c>
      <c r="B147" s="56" t="s">
        <v>105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</row>
    <row r="148" spans="1:9" x14ac:dyDescent="0.25">
      <c r="A148" s="55">
        <v>46169</v>
      </c>
      <c r="B148" s="56" t="s">
        <v>105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</row>
    <row r="149" spans="1:9" x14ac:dyDescent="0.25">
      <c r="A149" s="55">
        <v>46170</v>
      </c>
      <c r="B149" s="56" t="s">
        <v>105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</row>
    <row r="150" spans="1:9" x14ac:dyDescent="0.25">
      <c r="A150" s="55">
        <v>46171</v>
      </c>
      <c r="B150" s="56" t="s">
        <v>105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</row>
    <row r="151" spans="1:9" x14ac:dyDescent="0.25">
      <c r="A151" s="55">
        <v>46172</v>
      </c>
      <c r="B151" s="56" t="s">
        <v>105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</row>
    <row r="152" spans="1:9" x14ac:dyDescent="0.25">
      <c r="A152" s="55">
        <v>46173</v>
      </c>
      <c r="B152" s="56" t="s">
        <v>105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</row>
    <row r="153" spans="1:9" x14ac:dyDescent="0.25">
      <c r="A153" s="55">
        <v>46174</v>
      </c>
      <c r="B153" s="56" t="s">
        <v>105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>SUM(G153:G159)</f>
        <v>0</v>
      </c>
      <c r="I153" s="59"/>
    </row>
    <row r="154" spans="1:9" x14ac:dyDescent="0.25">
      <c r="A154" s="55">
        <v>46175</v>
      </c>
      <c r="B154" s="56" t="s">
        <v>105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</row>
    <row r="155" spans="1:9" x14ac:dyDescent="0.25">
      <c r="A155" s="55">
        <v>46176</v>
      </c>
      <c r="B155" s="56" t="s">
        <v>105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</row>
    <row r="156" spans="1:9" x14ac:dyDescent="0.25">
      <c r="A156" s="55">
        <v>46177</v>
      </c>
      <c r="B156" s="56" t="s">
        <v>105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</row>
    <row r="157" spans="1:9" x14ac:dyDescent="0.25">
      <c r="A157" s="55">
        <v>46178</v>
      </c>
      <c r="B157" s="56" t="s">
        <v>105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</row>
    <row r="158" spans="1:9" x14ac:dyDescent="0.25">
      <c r="A158" s="55">
        <v>46179</v>
      </c>
      <c r="B158" s="56" t="s">
        <v>105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</row>
    <row r="159" spans="1:9" x14ac:dyDescent="0.25">
      <c r="A159" s="55">
        <v>46180</v>
      </c>
      <c r="B159" s="56" t="s">
        <v>105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</row>
    <row r="160" spans="1:9" x14ac:dyDescent="0.25">
      <c r="A160" s="55">
        <v>46181</v>
      </c>
      <c r="B160" s="56" t="s">
        <v>105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>SUM(G160:G166)</f>
        <v>0</v>
      </c>
      <c r="I160" s="59"/>
    </row>
    <row r="161" spans="1:9" x14ac:dyDescent="0.25">
      <c r="A161" s="55">
        <v>46182</v>
      </c>
      <c r="B161" s="56" t="s">
        <v>105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</row>
    <row r="162" spans="1:9" x14ac:dyDescent="0.25">
      <c r="A162" s="55">
        <v>46183</v>
      </c>
      <c r="B162" s="56" t="s">
        <v>105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</row>
    <row r="163" spans="1:9" x14ac:dyDescent="0.25">
      <c r="A163" s="55">
        <v>46184</v>
      </c>
      <c r="B163" s="56" t="s">
        <v>105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</row>
    <row r="164" spans="1:9" x14ac:dyDescent="0.25">
      <c r="A164" s="55">
        <v>46185</v>
      </c>
      <c r="B164" s="56" t="s">
        <v>105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</row>
    <row r="165" spans="1:9" x14ac:dyDescent="0.25">
      <c r="A165" s="55">
        <v>46186</v>
      </c>
      <c r="B165" s="56" t="s">
        <v>105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</row>
    <row r="166" spans="1:9" x14ac:dyDescent="0.25">
      <c r="A166" s="55">
        <v>46187</v>
      </c>
      <c r="B166" s="56" t="s">
        <v>105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</row>
    <row r="167" spans="1:9" x14ac:dyDescent="0.25">
      <c r="A167" s="55">
        <v>46188</v>
      </c>
      <c r="B167" s="56" t="s">
        <v>105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>SUM(G167:G173)</f>
        <v>0</v>
      </c>
      <c r="I167" s="59"/>
    </row>
    <row r="168" spans="1:9" x14ac:dyDescent="0.25">
      <c r="A168" s="55">
        <v>46189</v>
      </c>
      <c r="B168" s="56" t="s">
        <v>105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</row>
    <row r="169" spans="1:9" x14ac:dyDescent="0.25">
      <c r="A169" s="55">
        <v>46190</v>
      </c>
      <c r="B169" s="56" t="s">
        <v>105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</row>
    <row r="170" spans="1:9" x14ac:dyDescent="0.25">
      <c r="A170" s="55">
        <v>46191</v>
      </c>
      <c r="B170" s="56" t="s">
        <v>105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</row>
    <row r="171" spans="1:9" x14ac:dyDescent="0.25">
      <c r="A171" s="55">
        <v>46192</v>
      </c>
      <c r="B171" s="56" t="s">
        <v>105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</row>
    <row r="172" spans="1:9" x14ac:dyDescent="0.25">
      <c r="A172" s="55">
        <v>46193</v>
      </c>
      <c r="B172" s="56" t="s">
        <v>105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</row>
    <row r="173" spans="1:9" x14ac:dyDescent="0.25">
      <c r="A173" s="55">
        <v>46194</v>
      </c>
      <c r="B173" s="56" t="s">
        <v>105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</row>
    <row r="174" spans="1:9" x14ac:dyDescent="0.25">
      <c r="A174" s="55">
        <v>46195</v>
      </c>
      <c r="B174" s="56" t="s">
        <v>105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>SUM(G174:G180)</f>
        <v>0</v>
      </c>
      <c r="I174" s="59"/>
    </row>
    <row r="175" spans="1:9" x14ac:dyDescent="0.25">
      <c r="A175" s="55">
        <v>46196</v>
      </c>
      <c r="B175" s="56" t="s">
        <v>105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</row>
    <row r="176" spans="1:9" x14ac:dyDescent="0.25">
      <c r="A176" s="55">
        <v>46197</v>
      </c>
      <c r="B176" s="56" t="s">
        <v>105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</row>
    <row r="177" spans="1:9" x14ac:dyDescent="0.25">
      <c r="A177" s="55">
        <v>46198</v>
      </c>
      <c r="B177" s="56" t="s">
        <v>105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</row>
    <row r="178" spans="1:9" x14ac:dyDescent="0.25">
      <c r="A178" s="55">
        <v>46199</v>
      </c>
      <c r="B178" s="56" t="s">
        <v>105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</row>
    <row r="179" spans="1:9" x14ac:dyDescent="0.25">
      <c r="A179" s="55">
        <v>46200</v>
      </c>
      <c r="B179" s="56" t="s">
        <v>105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</row>
    <row r="180" spans="1:9" x14ac:dyDescent="0.25">
      <c r="A180" s="55">
        <v>46201</v>
      </c>
      <c r="B180" s="56" t="s">
        <v>105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</row>
    <row r="181" spans="1:9" x14ac:dyDescent="0.25">
      <c r="A181" s="55">
        <v>46202</v>
      </c>
      <c r="B181" s="56" t="s">
        <v>105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>SUM(G181:G187)</f>
        <v>0</v>
      </c>
      <c r="I181" s="59"/>
    </row>
    <row r="182" spans="1:9" x14ac:dyDescent="0.25">
      <c r="A182" s="55">
        <v>46203</v>
      </c>
      <c r="B182" s="56" t="s">
        <v>105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</row>
    <row r="183" spans="1:9" x14ac:dyDescent="0.25">
      <c r="A183" s="55">
        <v>46204</v>
      </c>
      <c r="B183" s="56" t="s">
        <v>105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</row>
    <row r="184" spans="1:9" x14ac:dyDescent="0.25">
      <c r="A184" s="55">
        <v>46205</v>
      </c>
      <c r="B184" s="56" t="s">
        <v>105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</row>
    <row r="185" spans="1:9" x14ac:dyDescent="0.25">
      <c r="A185" s="55">
        <v>46206</v>
      </c>
      <c r="B185" s="56" t="s">
        <v>105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</row>
    <row r="186" spans="1:9" x14ac:dyDescent="0.25">
      <c r="A186" s="55">
        <v>46207</v>
      </c>
      <c r="B186" s="56" t="s">
        <v>105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</row>
    <row r="187" spans="1:9" x14ac:dyDescent="0.25">
      <c r="A187" s="55">
        <v>46208</v>
      </c>
      <c r="B187" s="56" t="s">
        <v>105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</row>
    <row r="188" spans="1:9" x14ac:dyDescent="0.25">
      <c r="A188" s="55">
        <v>46209</v>
      </c>
      <c r="B188" s="56" t="s">
        <v>105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>SUM(G188:G194)</f>
        <v>0</v>
      </c>
      <c r="I188" s="59"/>
    </row>
    <row r="189" spans="1:9" x14ac:dyDescent="0.25">
      <c r="A189" s="55">
        <v>46210</v>
      </c>
      <c r="B189" s="56" t="s">
        <v>105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</row>
    <row r="190" spans="1:9" x14ac:dyDescent="0.25">
      <c r="A190" s="55">
        <v>46211</v>
      </c>
      <c r="B190" s="56" t="s">
        <v>105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</row>
    <row r="191" spans="1:9" x14ac:dyDescent="0.25">
      <c r="A191" s="55">
        <v>46212</v>
      </c>
      <c r="B191" s="56" t="s">
        <v>105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</row>
    <row r="192" spans="1:9" x14ac:dyDescent="0.25">
      <c r="A192" s="55">
        <v>46213</v>
      </c>
      <c r="B192" s="56" t="s">
        <v>105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</row>
    <row r="193" spans="1:9" x14ac:dyDescent="0.25">
      <c r="A193" s="55">
        <v>46214</v>
      </c>
      <c r="B193" s="56" t="s">
        <v>105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</row>
    <row r="194" spans="1:9" x14ac:dyDescent="0.25">
      <c r="A194" s="55">
        <v>46215</v>
      </c>
      <c r="B194" s="56" t="s">
        <v>105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</row>
    <row r="195" spans="1:9" x14ac:dyDescent="0.25">
      <c r="A195" s="55">
        <v>46216</v>
      </c>
      <c r="B195" s="56" t="s">
        <v>105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3">SUM(F195,E195,C195-D195)</f>
        <v>0</v>
      </c>
      <c r="H195" s="58">
        <f>SUM(G195:G201)</f>
        <v>0</v>
      </c>
      <c r="I195" s="59"/>
    </row>
    <row r="196" spans="1:9" x14ac:dyDescent="0.25">
      <c r="A196" s="55">
        <v>46217</v>
      </c>
      <c r="B196" s="56" t="s">
        <v>105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3"/>
        <v>0</v>
      </c>
      <c r="H196" s="60"/>
      <c r="I196" s="59"/>
    </row>
    <row r="197" spans="1:9" x14ac:dyDescent="0.25">
      <c r="A197" s="55">
        <v>46218</v>
      </c>
      <c r="B197" s="56" t="s">
        <v>105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3"/>
        <v>0</v>
      </c>
      <c r="H197" s="60"/>
      <c r="I197" s="59"/>
    </row>
    <row r="198" spans="1:9" x14ac:dyDescent="0.25">
      <c r="A198" s="55">
        <v>46219</v>
      </c>
      <c r="B198" s="56" t="s">
        <v>105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3"/>
        <v>0</v>
      </c>
      <c r="H198" s="60"/>
      <c r="I198" s="59"/>
    </row>
    <row r="199" spans="1:9" x14ac:dyDescent="0.25">
      <c r="A199" s="55">
        <v>46220</v>
      </c>
      <c r="B199" s="56" t="s">
        <v>105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3"/>
        <v>0</v>
      </c>
      <c r="H199" s="60"/>
      <c r="I199" s="59"/>
    </row>
    <row r="200" spans="1:9" x14ac:dyDescent="0.25">
      <c r="A200" s="55">
        <v>46221</v>
      </c>
      <c r="B200" s="56" t="s">
        <v>105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3"/>
        <v>0</v>
      </c>
      <c r="H200" s="60"/>
      <c r="I200" s="59"/>
    </row>
    <row r="201" spans="1:9" x14ac:dyDescent="0.25">
      <c r="A201" s="55">
        <v>46222</v>
      </c>
      <c r="B201" s="56" t="s">
        <v>105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3"/>
        <v>0</v>
      </c>
      <c r="H201" s="61"/>
      <c r="I201" s="59"/>
    </row>
    <row r="202" spans="1:9" x14ac:dyDescent="0.25">
      <c r="A202" s="55">
        <v>46223</v>
      </c>
      <c r="B202" s="56" t="s">
        <v>105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3"/>
        <v>0</v>
      </c>
      <c r="H202" s="58">
        <f>SUM(G202:G208)</f>
        <v>0</v>
      </c>
      <c r="I202" s="59"/>
    </row>
    <row r="203" spans="1:9" x14ac:dyDescent="0.25">
      <c r="A203" s="55">
        <v>46224</v>
      </c>
      <c r="B203" s="56" t="s">
        <v>105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3"/>
        <v>0</v>
      </c>
      <c r="H203" s="60"/>
      <c r="I203" s="59"/>
    </row>
    <row r="204" spans="1:9" x14ac:dyDescent="0.25">
      <c r="A204" s="55">
        <v>46225</v>
      </c>
      <c r="B204" s="56" t="s">
        <v>105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3"/>
        <v>0</v>
      </c>
      <c r="H204" s="60"/>
      <c r="I204" s="59"/>
    </row>
    <row r="205" spans="1:9" x14ac:dyDescent="0.25">
      <c r="A205" s="55">
        <v>46226</v>
      </c>
      <c r="B205" s="56" t="s">
        <v>105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3"/>
        <v>0</v>
      </c>
      <c r="H205" s="60"/>
      <c r="I205" s="59"/>
    </row>
    <row r="206" spans="1:9" x14ac:dyDescent="0.25">
      <c r="A206" s="55">
        <v>46227</v>
      </c>
      <c r="B206" s="56" t="s">
        <v>105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3"/>
        <v>0</v>
      </c>
      <c r="H206" s="60"/>
      <c r="I206" s="59"/>
    </row>
    <row r="207" spans="1:9" x14ac:dyDescent="0.25">
      <c r="A207" s="55">
        <v>46228</v>
      </c>
      <c r="B207" s="56" t="s">
        <v>105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3"/>
        <v>0</v>
      </c>
      <c r="H207" s="60"/>
      <c r="I207" s="59"/>
    </row>
    <row r="208" spans="1:9" x14ac:dyDescent="0.25">
      <c r="A208" s="55">
        <v>46229</v>
      </c>
      <c r="B208" s="56" t="s">
        <v>105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3"/>
        <v>0</v>
      </c>
      <c r="H208" s="61"/>
      <c r="I208" s="59"/>
    </row>
    <row r="209" spans="1:9" x14ac:dyDescent="0.25">
      <c r="A209" s="55">
        <v>46230</v>
      </c>
      <c r="B209" s="56" t="s">
        <v>105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3"/>
        <v>0</v>
      </c>
      <c r="H209" s="58">
        <f>SUM(G209:G215)</f>
        <v>0</v>
      </c>
      <c r="I209" s="59"/>
    </row>
    <row r="210" spans="1:9" x14ac:dyDescent="0.25">
      <c r="A210" s="55">
        <v>46231</v>
      </c>
      <c r="B210" s="56" t="s">
        <v>105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3"/>
        <v>0</v>
      </c>
      <c r="H210" s="60"/>
      <c r="I210" s="59"/>
    </row>
    <row r="211" spans="1:9" x14ac:dyDescent="0.25">
      <c r="A211" s="55">
        <v>46232</v>
      </c>
      <c r="B211" s="56" t="s">
        <v>105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3"/>
        <v>0</v>
      </c>
      <c r="H211" s="60"/>
      <c r="I211" s="59"/>
    </row>
    <row r="212" spans="1:9" x14ac:dyDescent="0.25">
      <c r="A212" s="55">
        <v>46233</v>
      </c>
      <c r="B212" s="56" t="s">
        <v>105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3"/>
        <v>0</v>
      </c>
      <c r="H212" s="60"/>
      <c r="I212" s="59"/>
    </row>
    <row r="213" spans="1:9" x14ac:dyDescent="0.25">
      <c r="A213" s="55">
        <v>46234</v>
      </c>
      <c r="B213" s="56" t="s">
        <v>105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3"/>
        <v>0</v>
      </c>
      <c r="H213" s="60"/>
      <c r="I213" s="59"/>
    </row>
    <row r="214" spans="1:9" x14ac:dyDescent="0.25">
      <c r="A214" s="55">
        <v>46235</v>
      </c>
      <c r="B214" s="56" t="s">
        <v>105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3"/>
        <v>0</v>
      </c>
      <c r="H214" s="60"/>
      <c r="I214" s="59"/>
    </row>
    <row r="215" spans="1:9" x14ac:dyDescent="0.25">
      <c r="A215" s="55">
        <v>46236</v>
      </c>
      <c r="B215" s="56" t="s">
        <v>105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3"/>
        <v>0</v>
      </c>
      <c r="H215" s="61"/>
      <c r="I215" s="59"/>
    </row>
    <row r="216" spans="1:9" x14ac:dyDescent="0.25">
      <c r="A216" s="55">
        <v>46237</v>
      </c>
      <c r="B216" s="56" t="s">
        <v>105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3"/>
        <v>0</v>
      </c>
      <c r="H216" s="58">
        <f>SUM(G216:G222)</f>
        <v>0</v>
      </c>
      <c r="I216" s="59"/>
    </row>
    <row r="217" spans="1:9" x14ac:dyDescent="0.25">
      <c r="A217" s="55">
        <v>46238</v>
      </c>
      <c r="B217" s="56" t="s">
        <v>105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3"/>
        <v>0</v>
      </c>
      <c r="H217" s="60"/>
      <c r="I217" s="59"/>
    </row>
    <row r="218" spans="1:9" x14ac:dyDescent="0.25">
      <c r="A218" s="55">
        <v>46239</v>
      </c>
      <c r="B218" s="56" t="s">
        <v>105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3"/>
        <v>0</v>
      </c>
      <c r="H218" s="60"/>
      <c r="I218" s="59"/>
    </row>
    <row r="219" spans="1:9" x14ac:dyDescent="0.25">
      <c r="A219" s="55">
        <v>46240</v>
      </c>
      <c r="B219" s="56" t="s">
        <v>105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3"/>
        <v>0</v>
      </c>
      <c r="H219" s="60"/>
      <c r="I219" s="59"/>
    </row>
    <row r="220" spans="1:9" x14ac:dyDescent="0.25">
      <c r="A220" s="55">
        <v>46241</v>
      </c>
      <c r="B220" s="56" t="s">
        <v>105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3"/>
        <v>0</v>
      </c>
      <c r="H220" s="60"/>
      <c r="I220" s="59"/>
    </row>
    <row r="221" spans="1:9" x14ac:dyDescent="0.25">
      <c r="A221" s="55">
        <v>46242</v>
      </c>
      <c r="B221" s="56" t="s">
        <v>105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3"/>
        <v>0</v>
      </c>
      <c r="H221" s="60"/>
      <c r="I221" s="59"/>
    </row>
    <row r="222" spans="1:9" x14ac:dyDescent="0.25">
      <c r="A222" s="55">
        <v>46243</v>
      </c>
      <c r="B222" s="56" t="s">
        <v>105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3"/>
        <v>0</v>
      </c>
      <c r="H222" s="61"/>
      <c r="I222" s="59"/>
    </row>
    <row r="223" spans="1:9" x14ac:dyDescent="0.25">
      <c r="A223" s="55">
        <v>46244</v>
      </c>
      <c r="B223" s="56" t="s">
        <v>105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3"/>
        <v>0</v>
      </c>
      <c r="H223" s="58">
        <f>SUM(G223:G229)</f>
        <v>0</v>
      </c>
      <c r="I223" s="59"/>
    </row>
    <row r="224" spans="1:9" x14ac:dyDescent="0.25">
      <c r="A224" s="55">
        <v>46245</v>
      </c>
      <c r="B224" s="56" t="s">
        <v>105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3"/>
        <v>0</v>
      </c>
      <c r="H224" s="60"/>
      <c r="I224" s="59"/>
    </row>
    <row r="225" spans="1:9" x14ac:dyDescent="0.25">
      <c r="A225" s="55">
        <v>46246</v>
      </c>
      <c r="B225" s="56" t="s">
        <v>105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3"/>
        <v>0</v>
      </c>
      <c r="H225" s="60"/>
      <c r="I225" s="59"/>
    </row>
    <row r="226" spans="1:9" x14ac:dyDescent="0.25">
      <c r="A226" s="55">
        <v>46247</v>
      </c>
      <c r="B226" s="56" t="s">
        <v>105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3"/>
        <v>0</v>
      </c>
      <c r="H226" s="60"/>
      <c r="I226" s="59"/>
    </row>
    <row r="227" spans="1:9" x14ac:dyDescent="0.25">
      <c r="A227" s="55">
        <v>46248</v>
      </c>
      <c r="B227" s="56" t="s">
        <v>105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3"/>
        <v>0</v>
      </c>
      <c r="H227" s="60"/>
      <c r="I227" s="59"/>
    </row>
    <row r="228" spans="1:9" x14ac:dyDescent="0.25">
      <c r="A228" s="55">
        <v>46249</v>
      </c>
      <c r="B228" s="56" t="s">
        <v>105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3"/>
        <v>0</v>
      </c>
      <c r="H228" s="60"/>
      <c r="I228" s="59"/>
    </row>
    <row r="229" spans="1:9" x14ac:dyDescent="0.25">
      <c r="A229" s="55">
        <v>46250</v>
      </c>
      <c r="B229" s="56" t="s">
        <v>105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3"/>
        <v>0</v>
      </c>
      <c r="H229" s="61"/>
      <c r="I229" s="59"/>
    </row>
    <row r="230" spans="1:9" x14ac:dyDescent="0.25">
      <c r="A230" s="55">
        <v>46251</v>
      </c>
      <c r="B230" s="56" t="s">
        <v>105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3"/>
        <v>0</v>
      </c>
      <c r="H230" s="58">
        <f>SUM(G230:G236)</f>
        <v>0</v>
      </c>
      <c r="I230" s="59"/>
    </row>
    <row r="231" spans="1:9" x14ac:dyDescent="0.25">
      <c r="A231" s="55">
        <v>46252</v>
      </c>
      <c r="B231" s="56" t="s">
        <v>105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3"/>
        <v>0</v>
      </c>
      <c r="H231" s="60"/>
      <c r="I231" s="59"/>
    </row>
    <row r="232" spans="1:9" x14ac:dyDescent="0.25">
      <c r="A232" s="55">
        <v>46253</v>
      </c>
      <c r="B232" s="56" t="s">
        <v>105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3"/>
        <v>0</v>
      </c>
      <c r="H232" s="60"/>
      <c r="I232" s="59"/>
    </row>
    <row r="233" spans="1:9" x14ac:dyDescent="0.25">
      <c r="A233" s="55">
        <v>46254</v>
      </c>
      <c r="B233" s="56" t="s">
        <v>105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3"/>
        <v>0</v>
      </c>
      <c r="H233" s="60"/>
      <c r="I233" s="59"/>
    </row>
    <row r="234" spans="1:9" x14ac:dyDescent="0.25">
      <c r="A234" s="55">
        <v>46255</v>
      </c>
      <c r="B234" s="56" t="s">
        <v>105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3"/>
        <v>0</v>
      </c>
      <c r="H234" s="60"/>
      <c r="I234" s="59"/>
    </row>
    <row r="235" spans="1:9" x14ac:dyDescent="0.25">
      <c r="A235" s="55">
        <v>46256</v>
      </c>
      <c r="B235" s="56" t="s">
        <v>105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3"/>
        <v>0</v>
      </c>
      <c r="H235" s="60"/>
      <c r="I235" s="59"/>
    </row>
    <row r="236" spans="1:9" x14ac:dyDescent="0.25">
      <c r="A236" s="55">
        <v>46257</v>
      </c>
      <c r="B236" s="56" t="s">
        <v>105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3"/>
        <v>0</v>
      </c>
      <c r="H236" s="61"/>
      <c r="I236" s="59"/>
    </row>
    <row r="237" spans="1:9" x14ac:dyDescent="0.25">
      <c r="A237" s="55">
        <v>46258</v>
      </c>
      <c r="B237" s="56" t="s">
        <v>105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3"/>
        <v>0</v>
      </c>
      <c r="H237" s="58">
        <f>SUM(G237:G243)</f>
        <v>0</v>
      </c>
      <c r="I237" s="59"/>
    </row>
    <row r="238" spans="1:9" x14ac:dyDescent="0.25">
      <c r="A238" s="55">
        <v>46259</v>
      </c>
      <c r="B238" s="56" t="s">
        <v>105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3"/>
        <v>0</v>
      </c>
      <c r="H238" s="60"/>
      <c r="I238" s="59"/>
    </row>
    <row r="239" spans="1:9" x14ac:dyDescent="0.25">
      <c r="A239" s="55">
        <v>46260</v>
      </c>
      <c r="B239" s="56" t="s">
        <v>105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3"/>
        <v>0</v>
      </c>
      <c r="H239" s="60"/>
      <c r="I239" s="59"/>
    </row>
    <row r="240" spans="1:9" x14ac:dyDescent="0.25">
      <c r="A240" s="55">
        <v>46261</v>
      </c>
      <c r="B240" s="56" t="s">
        <v>105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3"/>
        <v>0</v>
      </c>
      <c r="H240" s="60"/>
      <c r="I240" s="59"/>
    </row>
    <row r="241" spans="1:9" x14ac:dyDescent="0.25">
      <c r="A241" s="55">
        <v>46262</v>
      </c>
      <c r="B241" s="56" t="s">
        <v>105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3"/>
        <v>0</v>
      </c>
      <c r="H241" s="60"/>
      <c r="I241" s="59"/>
    </row>
    <row r="242" spans="1:9" x14ac:dyDescent="0.25">
      <c r="A242" s="55">
        <v>46263</v>
      </c>
      <c r="B242" s="56" t="s">
        <v>105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3"/>
        <v>0</v>
      </c>
      <c r="H242" s="60"/>
      <c r="I242" s="59"/>
    </row>
    <row r="243" spans="1:9" x14ac:dyDescent="0.25">
      <c r="A243" s="55">
        <v>46264</v>
      </c>
      <c r="B243" s="56" t="s">
        <v>105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3"/>
        <v>0</v>
      </c>
      <c r="H243" s="61"/>
      <c r="I243" s="59"/>
    </row>
    <row r="244" spans="1:9" x14ac:dyDescent="0.25">
      <c r="A244" s="55">
        <v>46265</v>
      </c>
      <c r="B244" s="56" t="s">
        <v>105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3"/>
        <v>0</v>
      </c>
      <c r="H244" s="58">
        <f>SUM(G244:G250)</f>
        <v>0</v>
      </c>
      <c r="I244" s="59"/>
    </row>
    <row r="245" spans="1:9" x14ac:dyDescent="0.25">
      <c r="A245" s="55">
        <v>46266</v>
      </c>
      <c r="B245" s="56" t="s">
        <v>105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3"/>
        <v>0</v>
      </c>
      <c r="H245" s="60"/>
      <c r="I245" s="59"/>
    </row>
    <row r="246" spans="1:9" x14ac:dyDescent="0.25">
      <c r="A246" s="55">
        <v>46267</v>
      </c>
      <c r="B246" s="56" t="s">
        <v>105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3"/>
        <v>0</v>
      </c>
      <c r="H246" s="60"/>
      <c r="I246" s="59"/>
    </row>
    <row r="247" spans="1:9" x14ac:dyDescent="0.25">
      <c r="A247" s="55">
        <v>46268</v>
      </c>
      <c r="B247" s="56" t="s">
        <v>105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3"/>
        <v>0</v>
      </c>
      <c r="H247" s="60"/>
      <c r="I247" s="59"/>
    </row>
    <row r="248" spans="1:9" x14ac:dyDescent="0.25">
      <c r="A248" s="55">
        <v>46269</v>
      </c>
      <c r="B248" s="56" t="s">
        <v>105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3"/>
        <v>0</v>
      </c>
      <c r="H248" s="60"/>
      <c r="I248" s="59"/>
    </row>
    <row r="249" spans="1:9" x14ac:dyDescent="0.25">
      <c r="A249" s="55">
        <v>46270</v>
      </c>
      <c r="B249" s="56" t="s">
        <v>105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3"/>
        <v>0</v>
      </c>
      <c r="H249" s="60"/>
      <c r="I249" s="59"/>
    </row>
    <row r="250" spans="1:9" x14ac:dyDescent="0.25">
      <c r="A250" s="55">
        <v>46271</v>
      </c>
      <c r="B250" s="56" t="s">
        <v>105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3"/>
        <v>0</v>
      </c>
      <c r="H250" s="61"/>
      <c r="I250" s="59"/>
    </row>
    <row r="251" spans="1:9" x14ac:dyDescent="0.25">
      <c r="A251" s="55">
        <v>46272</v>
      </c>
      <c r="B251" s="56" t="s">
        <v>105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3"/>
        <v>0</v>
      </c>
      <c r="H251" s="58">
        <f>SUM(G251:G257)</f>
        <v>0</v>
      </c>
      <c r="I251" s="59"/>
    </row>
    <row r="252" spans="1:9" x14ac:dyDescent="0.25">
      <c r="A252" s="55">
        <v>46273</v>
      </c>
      <c r="B252" s="56" t="s">
        <v>105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3"/>
        <v>0</v>
      </c>
      <c r="H252" s="60"/>
      <c r="I252" s="59"/>
    </row>
    <row r="253" spans="1:9" x14ac:dyDescent="0.25">
      <c r="A253" s="55">
        <v>46274</v>
      </c>
      <c r="B253" s="56" t="s">
        <v>105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3"/>
        <v>0</v>
      </c>
      <c r="H253" s="60"/>
      <c r="I253" s="59"/>
    </row>
    <row r="254" spans="1:9" x14ac:dyDescent="0.25">
      <c r="A254" s="55">
        <v>46275</v>
      </c>
      <c r="B254" s="56" t="s">
        <v>105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3"/>
        <v>0</v>
      </c>
      <c r="H254" s="60"/>
      <c r="I254" s="59"/>
    </row>
    <row r="255" spans="1:9" x14ac:dyDescent="0.25">
      <c r="A255" s="55">
        <v>46276</v>
      </c>
      <c r="B255" s="56" t="s">
        <v>105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3"/>
        <v>0</v>
      </c>
      <c r="H255" s="60"/>
      <c r="I255" s="59"/>
    </row>
    <row r="256" spans="1:9" x14ac:dyDescent="0.25">
      <c r="A256" s="55">
        <v>46277</v>
      </c>
      <c r="B256" s="56" t="s">
        <v>105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3"/>
        <v>0</v>
      </c>
      <c r="H256" s="60"/>
      <c r="I256" s="59"/>
    </row>
    <row r="257" spans="1:9" x14ac:dyDescent="0.25">
      <c r="A257" s="55">
        <v>46278</v>
      </c>
      <c r="B257" s="56" t="s">
        <v>105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3"/>
        <v>0</v>
      </c>
      <c r="H257" s="61"/>
      <c r="I257" s="59"/>
    </row>
    <row r="258" spans="1:9" x14ac:dyDescent="0.25">
      <c r="A258" s="55">
        <v>46279</v>
      </c>
      <c r="B258" s="56" t="s">
        <v>105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3"/>
        <v>0</v>
      </c>
      <c r="H258" s="58">
        <f>SUM(G258:G264)</f>
        <v>0</v>
      </c>
      <c r="I258" s="59"/>
    </row>
    <row r="259" spans="1:9" x14ac:dyDescent="0.25">
      <c r="A259" s="55">
        <v>46280</v>
      </c>
      <c r="B259" s="56" t="s">
        <v>105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4">SUM(F259,E259,C259-D259)</f>
        <v>0</v>
      </c>
      <c r="H259" s="60"/>
      <c r="I259" s="59"/>
    </row>
    <row r="260" spans="1:9" x14ac:dyDescent="0.25">
      <c r="A260" s="55">
        <v>46281</v>
      </c>
      <c r="B260" s="56" t="s">
        <v>105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4"/>
        <v>0</v>
      </c>
      <c r="H260" s="60"/>
      <c r="I260" s="59"/>
    </row>
    <row r="261" spans="1:9" x14ac:dyDescent="0.25">
      <c r="A261" s="55">
        <v>46282</v>
      </c>
      <c r="B261" s="56" t="s">
        <v>105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4"/>
        <v>0</v>
      </c>
      <c r="H261" s="60"/>
      <c r="I261" s="59"/>
    </row>
    <row r="262" spans="1:9" x14ac:dyDescent="0.25">
      <c r="A262" s="55">
        <v>46283</v>
      </c>
      <c r="B262" s="56" t="s">
        <v>105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4"/>
        <v>0</v>
      </c>
      <c r="H262" s="60"/>
      <c r="I262" s="59"/>
    </row>
    <row r="263" spans="1:9" x14ac:dyDescent="0.25">
      <c r="A263" s="55">
        <v>46284</v>
      </c>
      <c r="B263" s="56" t="s">
        <v>105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4"/>
        <v>0</v>
      </c>
      <c r="H263" s="60"/>
      <c r="I263" s="59"/>
    </row>
    <row r="264" spans="1:9" x14ac:dyDescent="0.25">
      <c r="A264" s="55">
        <v>46285</v>
      </c>
      <c r="B264" s="56" t="s">
        <v>105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4"/>
        <v>0</v>
      </c>
      <c r="H264" s="61"/>
      <c r="I264" s="59"/>
    </row>
    <row r="265" spans="1:9" x14ac:dyDescent="0.25">
      <c r="A265" s="55">
        <v>46286</v>
      </c>
      <c r="B265" s="56" t="s">
        <v>105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4"/>
        <v>0</v>
      </c>
      <c r="H265" s="58">
        <f>SUM(G265:G271)</f>
        <v>0</v>
      </c>
      <c r="I265" s="59"/>
    </row>
    <row r="266" spans="1:9" x14ac:dyDescent="0.25">
      <c r="A266" s="55">
        <v>46287</v>
      </c>
      <c r="B266" s="56" t="s">
        <v>105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4"/>
        <v>0</v>
      </c>
      <c r="H266" s="60"/>
      <c r="I266" s="59"/>
    </row>
    <row r="267" spans="1:9" x14ac:dyDescent="0.25">
      <c r="A267" s="55">
        <v>46288</v>
      </c>
      <c r="B267" s="56" t="s">
        <v>105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4"/>
        <v>0</v>
      </c>
      <c r="H267" s="60"/>
      <c r="I267" s="59"/>
    </row>
    <row r="268" spans="1:9" x14ac:dyDescent="0.25">
      <c r="A268" s="55">
        <v>46289</v>
      </c>
      <c r="B268" s="56" t="s">
        <v>105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4"/>
        <v>0</v>
      </c>
      <c r="H268" s="60"/>
      <c r="I268" s="59"/>
    </row>
    <row r="269" spans="1:9" x14ac:dyDescent="0.25">
      <c r="A269" s="55">
        <v>46290</v>
      </c>
      <c r="B269" s="56" t="s">
        <v>105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4"/>
        <v>0</v>
      </c>
      <c r="H269" s="60"/>
      <c r="I269" s="59"/>
    </row>
    <row r="270" spans="1:9" x14ac:dyDescent="0.25">
      <c r="A270" s="55">
        <v>46291</v>
      </c>
      <c r="B270" s="56" t="s">
        <v>105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4"/>
        <v>0</v>
      </c>
      <c r="H270" s="60"/>
      <c r="I270" s="59"/>
    </row>
    <row r="271" spans="1:9" x14ac:dyDescent="0.25">
      <c r="A271" s="55">
        <v>46292</v>
      </c>
      <c r="B271" s="56" t="s">
        <v>105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4"/>
        <v>0</v>
      </c>
      <c r="H271" s="61"/>
      <c r="I271" s="59"/>
    </row>
    <row r="272" spans="1:9" x14ac:dyDescent="0.25">
      <c r="A272" s="55">
        <v>46293</v>
      </c>
      <c r="B272" s="56" t="s">
        <v>105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4"/>
        <v>0</v>
      </c>
      <c r="H272" s="58">
        <f>SUM(G272:G278)</f>
        <v>0</v>
      </c>
      <c r="I272" s="59"/>
    </row>
    <row r="273" spans="1:9" x14ac:dyDescent="0.25">
      <c r="A273" s="55">
        <v>46294</v>
      </c>
      <c r="B273" s="56" t="s">
        <v>105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4"/>
        <v>0</v>
      </c>
      <c r="H273" s="60"/>
      <c r="I273" s="59"/>
    </row>
    <row r="274" spans="1:9" x14ac:dyDescent="0.25">
      <c r="A274" s="55">
        <v>46295</v>
      </c>
      <c r="B274" s="56" t="s">
        <v>105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4"/>
        <v>0</v>
      </c>
      <c r="H274" s="60"/>
      <c r="I274" s="59"/>
    </row>
    <row r="275" spans="1:9" x14ac:dyDescent="0.25">
      <c r="A275" s="55">
        <v>46296</v>
      </c>
      <c r="B275" s="56" t="s">
        <v>105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4"/>
        <v>0</v>
      </c>
      <c r="H275" s="60"/>
      <c r="I275" s="59"/>
    </row>
    <row r="276" spans="1:9" x14ac:dyDescent="0.25">
      <c r="A276" s="55">
        <v>46297</v>
      </c>
      <c r="B276" s="56" t="s">
        <v>105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4"/>
        <v>0</v>
      </c>
      <c r="H276" s="60"/>
      <c r="I276" s="59"/>
    </row>
    <row r="277" spans="1:9" x14ac:dyDescent="0.25">
      <c r="A277" s="55">
        <v>46298</v>
      </c>
      <c r="B277" s="56" t="s">
        <v>105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4"/>
        <v>0</v>
      </c>
      <c r="H277" s="60"/>
      <c r="I277" s="59"/>
    </row>
    <row r="278" spans="1:9" x14ac:dyDescent="0.25">
      <c r="A278" s="55">
        <v>46299</v>
      </c>
      <c r="B278" s="56" t="s">
        <v>105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4"/>
        <v>0</v>
      </c>
      <c r="H278" s="61"/>
      <c r="I278" s="59"/>
    </row>
    <row r="279" spans="1:9" x14ac:dyDescent="0.25">
      <c r="A279" s="55">
        <v>46300</v>
      </c>
      <c r="B279" s="56" t="s">
        <v>105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4"/>
        <v>0</v>
      </c>
      <c r="H279" s="58">
        <f>SUM(G279:G285)</f>
        <v>0</v>
      </c>
      <c r="I279" s="59"/>
    </row>
    <row r="280" spans="1:9" x14ac:dyDescent="0.25">
      <c r="A280" s="55">
        <v>46301</v>
      </c>
      <c r="B280" s="56" t="s">
        <v>105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4"/>
        <v>0</v>
      </c>
      <c r="H280" s="60"/>
      <c r="I280" s="59"/>
    </row>
    <row r="281" spans="1:9" x14ac:dyDescent="0.25">
      <c r="A281" s="55">
        <v>46302</v>
      </c>
      <c r="B281" s="56" t="s">
        <v>105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4"/>
        <v>0</v>
      </c>
      <c r="H281" s="60"/>
      <c r="I281" s="59"/>
    </row>
    <row r="282" spans="1:9" x14ac:dyDescent="0.25">
      <c r="A282" s="55">
        <v>46303</v>
      </c>
      <c r="B282" s="56" t="s">
        <v>105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4"/>
        <v>0</v>
      </c>
      <c r="H282" s="60"/>
      <c r="I282" s="59"/>
    </row>
    <row r="283" spans="1:9" x14ac:dyDescent="0.25">
      <c r="A283" s="55">
        <v>46304</v>
      </c>
      <c r="B283" s="56" t="s">
        <v>105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4"/>
        <v>0</v>
      </c>
      <c r="H283" s="60"/>
      <c r="I283" s="59"/>
    </row>
    <row r="284" spans="1:9" x14ac:dyDescent="0.25">
      <c r="A284" s="55">
        <v>46305</v>
      </c>
      <c r="B284" s="56" t="s">
        <v>105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4"/>
        <v>0</v>
      </c>
      <c r="H284" s="60"/>
      <c r="I284" s="59"/>
    </row>
    <row r="285" spans="1:9" x14ac:dyDescent="0.25">
      <c r="A285" s="55">
        <v>46306</v>
      </c>
      <c r="B285" s="56" t="s">
        <v>105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4"/>
        <v>0</v>
      </c>
      <c r="H285" s="61"/>
      <c r="I285" s="59"/>
    </row>
    <row r="286" spans="1:9" x14ac:dyDescent="0.25">
      <c r="A286" s="55">
        <v>46307</v>
      </c>
      <c r="B286" s="56" t="s">
        <v>105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4"/>
        <v>0</v>
      </c>
      <c r="H286" s="58">
        <f>SUM(G286:G292)</f>
        <v>0</v>
      </c>
      <c r="I286" s="59"/>
    </row>
    <row r="287" spans="1:9" x14ac:dyDescent="0.25">
      <c r="A287" s="55">
        <v>46308</v>
      </c>
      <c r="B287" s="56" t="s">
        <v>105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4"/>
        <v>0</v>
      </c>
      <c r="H287" s="60"/>
      <c r="I287" s="59"/>
    </row>
    <row r="288" spans="1:9" x14ac:dyDescent="0.25">
      <c r="A288" s="55">
        <v>46309</v>
      </c>
      <c r="B288" s="56" t="s">
        <v>105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4"/>
        <v>0</v>
      </c>
      <c r="H288" s="60"/>
      <c r="I288" s="59"/>
    </row>
    <row r="289" spans="1:9" x14ac:dyDescent="0.25">
      <c r="A289" s="55">
        <v>46310</v>
      </c>
      <c r="B289" s="56" t="s">
        <v>105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4"/>
        <v>0</v>
      </c>
      <c r="H289" s="60"/>
      <c r="I289" s="59"/>
    </row>
    <row r="290" spans="1:9" x14ac:dyDescent="0.25">
      <c r="A290" s="55">
        <v>46311</v>
      </c>
      <c r="B290" s="56" t="s">
        <v>105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4"/>
        <v>0</v>
      </c>
      <c r="H290" s="60"/>
      <c r="I290" s="59"/>
    </row>
    <row r="291" spans="1:9" x14ac:dyDescent="0.25">
      <c r="A291" s="55">
        <v>46312</v>
      </c>
      <c r="B291" s="56" t="s">
        <v>105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4"/>
        <v>0</v>
      </c>
      <c r="H291" s="60"/>
      <c r="I291" s="59"/>
    </row>
    <row r="292" spans="1:9" x14ac:dyDescent="0.25">
      <c r="A292" s="55">
        <v>46313</v>
      </c>
      <c r="B292" s="56" t="s">
        <v>105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4"/>
        <v>0</v>
      </c>
      <c r="H292" s="61"/>
      <c r="I292" s="59"/>
    </row>
    <row r="293" spans="1:9" x14ac:dyDescent="0.25">
      <c r="A293" s="55">
        <v>46314</v>
      </c>
      <c r="B293" s="56" t="s">
        <v>105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4"/>
        <v>0</v>
      </c>
      <c r="H293" s="58">
        <f>SUM(G293:G299)</f>
        <v>0</v>
      </c>
      <c r="I293" s="59"/>
    </row>
    <row r="294" spans="1:9" x14ac:dyDescent="0.25">
      <c r="A294" s="55">
        <v>46315</v>
      </c>
      <c r="B294" s="56" t="s">
        <v>105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4"/>
        <v>0</v>
      </c>
      <c r="H294" s="60"/>
      <c r="I294" s="59"/>
    </row>
    <row r="295" spans="1:9" x14ac:dyDescent="0.25">
      <c r="A295" s="55">
        <v>46316</v>
      </c>
      <c r="B295" s="56" t="s">
        <v>105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4"/>
        <v>0</v>
      </c>
      <c r="H295" s="60"/>
      <c r="I295" s="59"/>
    </row>
    <row r="296" spans="1:9" x14ac:dyDescent="0.25">
      <c r="A296" s="55">
        <v>46317</v>
      </c>
      <c r="B296" s="56" t="s">
        <v>105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4"/>
        <v>0</v>
      </c>
      <c r="H296" s="60"/>
      <c r="I296" s="59"/>
    </row>
    <row r="297" spans="1:9" x14ac:dyDescent="0.25">
      <c r="A297" s="55">
        <v>46318</v>
      </c>
      <c r="B297" s="56" t="s">
        <v>105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4"/>
        <v>0</v>
      </c>
      <c r="H297" s="60"/>
      <c r="I297" s="59"/>
    </row>
    <row r="298" spans="1:9" x14ac:dyDescent="0.25">
      <c r="A298" s="55">
        <v>46319</v>
      </c>
      <c r="B298" s="56" t="s">
        <v>105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4"/>
        <v>0</v>
      </c>
      <c r="H298" s="60"/>
      <c r="I298" s="59"/>
    </row>
    <row r="299" spans="1:9" x14ac:dyDescent="0.25">
      <c r="A299" s="55">
        <v>46320</v>
      </c>
      <c r="B299" s="56" t="s">
        <v>105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4"/>
        <v>0</v>
      </c>
      <c r="H299" s="61"/>
      <c r="I299" s="59"/>
    </row>
    <row r="300" spans="1:9" x14ac:dyDescent="0.25">
      <c r="A300" s="55">
        <v>46321</v>
      </c>
      <c r="B300" s="56" t="s">
        <v>105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4"/>
        <v>0</v>
      </c>
      <c r="H300" s="58">
        <f>SUM(G300:G306)</f>
        <v>0</v>
      </c>
      <c r="I300" s="59"/>
    </row>
    <row r="301" spans="1:9" x14ac:dyDescent="0.25">
      <c r="A301" s="55">
        <v>46322</v>
      </c>
      <c r="B301" s="56" t="s">
        <v>105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4"/>
        <v>0</v>
      </c>
      <c r="H301" s="60"/>
      <c r="I301" s="59"/>
    </row>
    <row r="302" spans="1:9" x14ac:dyDescent="0.25">
      <c r="A302" s="55">
        <v>46323</v>
      </c>
      <c r="B302" s="56" t="s">
        <v>105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4"/>
        <v>0</v>
      </c>
      <c r="H302" s="60"/>
      <c r="I302" s="59"/>
    </row>
    <row r="303" spans="1:9" x14ac:dyDescent="0.25">
      <c r="A303" s="55">
        <v>46324</v>
      </c>
      <c r="B303" s="56" t="s">
        <v>105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4"/>
        <v>0</v>
      </c>
      <c r="H303" s="60"/>
      <c r="I303" s="59"/>
    </row>
    <row r="304" spans="1:9" x14ac:dyDescent="0.25">
      <c r="A304" s="55">
        <v>46325</v>
      </c>
      <c r="B304" s="56" t="s">
        <v>105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4"/>
        <v>0</v>
      </c>
      <c r="H304" s="60"/>
      <c r="I304" s="59"/>
    </row>
    <row r="305" spans="1:9" x14ac:dyDescent="0.25">
      <c r="A305" s="55">
        <v>46326</v>
      </c>
      <c r="B305" s="56" t="s">
        <v>105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4"/>
        <v>0</v>
      </c>
      <c r="H305" s="60"/>
      <c r="I305" s="59"/>
    </row>
    <row r="306" spans="1:9" x14ac:dyDescent="0.25">
      <c r="A306" s="55">
        <v>46327</v>
      </c>
      <c r="B306" s="56" t="s">
        <v>105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4"/>
        <v>0</v>
      </c>
      <c r="H306" s="61"/>
      <c r="I306" s="59"/>
    </row>
    <row r="307" spans="1:9" x14ac:dyDescent="0.25">
      <c r="A307" s="55">
        <v>46328</v>
      </c>
      <c r="B307" s="56" t="s">
        <v>105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4"/>
        <v>0</v>
      </c>
      <c r="H307" s="58">
        <f>SUM(G307:G313)</f>
        <v>0</v>
      </c>
      <c r="I307" s="59"/>
    </row>
    <row r="308" spans="1:9" x14ac:dyDescent="0.25">
      <c r="A308" s="55">
        <v>46329</v>
      </c>
      <c r="B308" s="56" t="s">
        <v>105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4"/>
        <v>0</v>
      </c>
      <c r="H308" s="60"/>
      <c r="I308" s="59"/>
    </row>
    <row r="309" spans="1:9" x14ac:dyDescent="0.25">
      <c r="A309" s="55">
        <v>46330</v>
      </c>
      <c r="B309" s="56" t="s">
        <v>105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4"/>
        <v>0</v>
      </c>
      <c r="H309" s="60"/>
      <c r="I309" s="59"/>
    </row>
    <row r="310" spans="1:9" x14ac:dyDescent="0.25">
      <c r="A310" s="55">
        <v>46331</v>
      </c>
      <c r="B310" s="56" t="s">
        <v>105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4"/>
        <v>0</v>
      </c>
      <c r="H310" s="60"/>
      <c r="I310" s="59"/>
    </row>
    <row r="311" spans="1:9" x14ac:dyDescent="0.25">
      <c r="A311" s="55">
        <v>46332</v>
      </c>
      <c r="B311" s="56" t="s">
        <v>105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4"/>
        <v>0</v>
      </c>
      <c r="H311" s="60"/>
      <c r="I311" s="59"/>
    </row>
    <row r="312" spans="1:9" x14ac:dyDescent="0.25">
      <c r="A312" s="55">
        <v>46333</v>
      </c>
      <c r="B312" s="56" t="s">
        <v>105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4"/>
        <v>0</v>
      </c>
      <c r="H312" s="60"/>
      <c r="I312" s="59"/>
    </row>
    <row r="313" spans="1:9" x14ac:dyDescent="0.25">
      <c r="A313" s="55">
        <v>46334</v>
      </c>
      <c r="B313" s="56" t="s">
        <v>105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4"/>
        <v>0</v>
      </c>
      <c r="H313" s="61"/>
      <c r="I313" s="59"/>
    </row>
    <row r="314" spans="1:9" x14ac:dyDescent="0.25">
      <c r="A314" s="55">
        <v>46335</v>
      </c>
      <c r="B314" s="56" t="s">
        <v>105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4"/>
        <v>0</v>
      </c>
      <c r="H314" s="58">
        <f>SUM(G314:G320)</f>
        <v>0</v>
      </c>
      <c r="I314" s="59"/>
    </row>
    <row r="315" spans="1:9" x14ac:dyDescent="0.25">
      <c r="A315" s="55">
        <v>46336</v>
      </c>
      <c r="B315" s="56" t="s">
        <v>105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4"/>
        <v>0</v>
      </c>
      <c r="H315" s="60"/>
      <c r="I315" s="59"/>
    </row>
    <row r="316" spans="1:9" x14ac:dyDescent="0.25">
      <c r="A316" s="55">
        <v>46337</v>
      </c>
      <c r="B316" s="56" t="s">
        <v>105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4"/>
        <v>0</v>
      </c>
      <c r="H316" s="60"/>
      <c r="I316" s="59"/>
    </row>
    <row r="317" spans="1:9" x14ac:dyDescent="0.25">
      <c r="A317" s="55">
        <v>46338</v>
      </c>
      <c r="B317" s="56" t="s">
        <v>105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4"/>
        <v>0</v>
      </c>
      <c r="H317" s="60"/>
      <c r="I317" s="59"/>
    </row>
    <row r="318" spans="1:9" x14ac:dyDescent="0.25">
      <c r="A318" s="55">
        <v>46339</v>
      </c>
      <c r="B318" s="56" t="s">
        <v>105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4"/>
        <v>0</v>
      </c>
      <c r="H318" s="60"/>
      <c r="I318" s="59"/>
    </row>
    <row r="319" spans="1:9" x14ac:dyDescent="0.25">
      <c r="A319" s="55">
        <v>46340</v>
      </c>
      <c r="B319" s="56" t="s">
        <v>105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4"/>
        <v>0</v>
      </c>
      <c r="H319" s="60"/>
      <c r="I319" s="59"/>
    </row>
    <row r="320" spans="1:9" x14ac:dyDescent="0.25">
      <c r="A320" s="55">
        <v>46341</v>
      </c>
      <c r="B320" s="56" t="s">
        <v>105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4"/>
        <v>0</v>
      </c>
      <c r="H320" s="61"/>
      <c r="I320" s="59"/>
    </row>
    <row r="321" spans="1:9" x14ac:dyDescent="0.25">
      <c r="A321" s="55">
        <v>46342</v>
      </c>
      <c r="B321" s="56" t="s">
        <v>105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4"/>
        <v>0</v>
      </c>
      <c r="H321" s="58">
        <f>SUM(G321:G327)</f>
        <v>0</v>
      </c>
      <c r="I321" s="59"/>
    </row>
    <row r="322" spans="1:9" x14ac:dyDescent="0.25">
      <c r="A322" s="55">
        <v>46343</v>
      </c>
      <c r="B322" s="56" t="s">
        <v>105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4"/>
        <v>0</v>
      </c>
      <c r="H322" s="60"/>
      <c r="I322" s="59"/>
    </row>
    <row r="323" spans="1:9" x14ac:dyDescent="0.25">
      <c r="A323" s="55">
        <v>46344</v>
      </c>
      <c r="B323" s="56" t="s">
        <v>105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5">SUM(F323,E323,C323-D323)</f>
        <v>0</v>
      </c>
      <c r="H323" s="60"/>
      <c r="I323" s="59"/>
    </row>
    <row r="324" spans="1:9" x14ac:dyDescent="0.25">
      <c r="A324" s="55">
        <v>46345</v>
      </c>
      <c r="B324" s="56" t="s">
        <v>105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5"/>
        <v>0</v>
      </c>
      <c r="H324" s="60"/>
      <c r="I324" s="59"/>
    </row>
    <row r="325" spans="1:9" x14ac:dyDescent="0.25">
      <c r="A325" s="55">
        <v>46346</v>
      </c>
      <c r="B325" s="56" t="s">
        <v>105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5"/>
        <v>0</v>
      </c>
      <c r="H325" s="60"/>
      <c r="I325" s="59"/>
    </row>
    <row r="326" spans="1:9" x14ac:dyDescent="0.25">
      <c r="A326" s="55">
        <v>46347</v>
      </c>
      <c r="B326" s="56" t="s">
        <v>105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5"/>
        <v>0</v>
      </c>
      <c r="H326" s="60"/>
      <c r="I326" s="59"/>
    </row>
    <row r="327" spans="1:9" x14ac:dyDescent="0.25">
      <c r="A327" s="55">
        <v>46348</v>
      </c>
      <c r="B327" s="56" t="s">
        <v>105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5"/>
        <v>0</v>
      </c>
      <c r="H327" s="61"/>
      <c r="I327" s="59"/>
    </row>
    <row r="328" spans="1:9" x14ac:dyDescent="0.25">
      <c r="A328" s="55">
        <v>46349</v>
      </c>
      <c r="B328" s="56" t="s">
        <v>105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5"/>
        <v>0</v>
      </c>
      <c r="H328" s="58">
        <f>SUM(G328:G334)</f>
        <v>0</v>
      </c>
      <c r="I328" s="59"/>
    </row>
    <row r="329" spans="1:9" x14ac:dyDescent="0.25">
      <c r="A329" s="55">
        <v>46350</v>
      </c>
      <c r="B329" s="56" t="s">
        <v>105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5"/>
        <v>0</v>
      </c>
      <c r="H329" s="60"/>
      <c r="I329" s="59"/>
    </row>
    <row r="330" spans="1:9" x14ac:dyDescent="0.25">
      <c r="A330" s="55">
        <v>46351</v>
      </c>
      <c r="B330" s="56" t="s">
        <v>105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5"/>
        <v>0</v>
      </c>
      <c r="H330" s="60"/>
      <c r="I330" s="59"/>
    </row>
    <row r="331" spans="1:9" x14ac:dyDescent="0.25">
      <c r="A331" s="55">
        <v>46352</v>
      </c>
      <c r="B331" s="56" t="s">
        <v>105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5"/>
        <v>0</v>
      </c>
      <c r="H331" s="60"/>
      <c r="I331" s="59"/>
    </row>
    <row r="332" spans="1:9" x14ac:dyDescent="0.25">
      <c r="A332" s="55">
        <v>46353</v>
      </c>
      <c r="B332" s="56" t="s">
        <v>105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5"/>
        <v>0</v>
      </c>
      <c r="H332" s="60"/>
      <c r="I332" s="59"/>
    </row>
    <row r="333" spans="1:9" x14ac:dyDescent="0.25">
      <c r="A333" s="55">
        <v>46354</v>
      </c>
      <c r="B333" s="56" t="s">
        <v>105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5"/>
        <v>0</v>
      </c>
      <c r="H333" s="60"/>
      <c r="I333" s="59"/>
    </row>
    <row r="334" spans="1:9" x14ac:dyDescent="0.25">
      <c r="A334" s="55">
        <v>46355</v>
      </c>
      <c r="B334" s="56" t="s">
        <v>105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5"/>
        <v>0</v>
      </c>
      <c r="H334" s="61"/>
      <c r="I334" s="59"/>
    </row>
    <row r="335" spans="1:9" x14ac:dyDescent="0.25">
      <c r="A335" s="55">
        <v>46356</v>
      </c>
      <c r="B335" s="56" t="s">
        <v>105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5"/>
        <v>0</v>
      </c>
      <c r="H335" s="58">
        <f>SUM(G335:G341)</f>
        <v>0</v>
      </c>
      <c r="I335" s="59"/>
    </row>
    <row r="336" spans="1:9" x14ac:dyDescent="0.25">
      <c r="A336" s="55">
        <v>46357</v>
      </c>
      <c r="B336" s="56" t="s">
        <v>105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5"/>
        <v>0</v>
      </c>
      <c r="H336" s="60"/>
      <c r="I336" s="59"/>
    </row>
    <row r="337" spans="1:9" x14ac:dyDescent="0.25">
      <c r="A337" s="55">
        <v>46358</v>
      </c>
      <c r="B337" s="56" t="s">
        <v>105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5"/>
        <v>0</v>
      </c>
      <c r="H337" s="60"/>
      <c r="I337" s="59"/>
    </row>
    <row r="338" spans="1:9" x14ac:dyDescent="0.25">
      <c r="A338" s="55">
        <v>46359</v>
      </c>
      <c r="B338" s="56" t="s">
        <v>105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5"/>
        <v>0</v>
      </c>
      <c r="H338" s="60"/>
      <c r="I338" s="59"/>
    </row>
    <row r="339" spans="1:9" x14ac:dyDescent="0.25">
      <c r="A339" s="55">
        <v>46360</v>
      </c>
      <c r="B339" s="56" t="s">
        <v>105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5"/>
        <v>0</v>
      </c>
      <c r="H339" s="60"/>
      <c r="I339" s="59"/>
    </row>
    <row r="340" spans="1:9" x14ac:dyDescent="0.25">
      <c r="A340" s="55">
        <v>46361</v>
      </c>
      <c r="B340" s="56" t="s">
        <v>105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5"/>
        <v>0</v>
      </c>
      <c r="H340" s="60"/>
      <c r="I340" s="59"/>
    </row>
    <row r="341" spans="1:9" x14ac:dyDescent="0.25">
      <c r="A341" s="55">
        <v>46362</v>
      </c>
      <c r="B341" s="56" t="s">
        <v>105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5"/>
        <v>0</v>
      </c>
      <c r="H341" s="61"/>
      <c r="I341" s="59"/>
    </row>
    <row r="342" spans="1:9" x14ac:dyDescent="0.25">
      <c r="A342" s="55">
        <v>46363</v>
      </c>
      <c r="B342" s="56" t="s">
        <v>105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5"/>
        <v>0</v>
      </c>
      <c r="H342" s="58">
        <f>SUM(G342:G348)</f>
        <v>0</v>
      </c>
      <c r="I342" s="59"/>
    </row>
    <row r="343" spans="1:9" x14ac:dyDescent="0.25">
      <c r="A343" s="55">
        <v>46364</v>
      </c>
      <c r="B343" s="56" t="s">
        <v>105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5"/>
        <v>0</v>
      </c>
      <c r="H343" s="60"/>
      <c r="I343" s="59"/>
    </row>
    <row r="344" spans="1:9" x14ac:dyDescent="0.25">
      <c r="A344" s="55">
        <v>46365</v>
      </c>
      <c r="B344" s="56" t="s">
        <v>105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5"/>
        <v>0</v>
      </c>
      <c r="H344" s="60"/>
      <c r="I344" s="59"/>
    </row>
    <row r="345" spans="1:9" x14ac:dyDescent="0.25">
      <c r="A345" s="55">
        <v>46366</v>
      </c>
      <c r="B345" s="56" t="s">
        <v>105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5"/>
        <v>0</v>
      </c>
      <c r="H345" s="60"/>
      <c r="I345" s="59"/>
    </row>
    <row r="346" spans="1:9" x14ac:dyDescent="0.25">
      <c r="A346" s="55">
        <v>46367</v>
      </c>
      <c r="B346" s="56" t="s">
        <v>105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5"/>
        <v>0</v>
      </c>
      <c r="H346" s="60"/>
      <c r="I346" s="59"/>
    </row>
    <row r="347" spans="1:9" x14ac:dyDescent="0.25">
      <c r="A347" s="55">
        <v>46368</v>
      </c>
      <c r="B347" s="56" t="s">
        <v>105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5"/>
        <v>0</v>
      </c>
      <c r="H347" s="60"/>
      <c r="I347" s="59"/>
    </row>
    <row r="348" spans="1:9" x14ac:dyDescent="0.25">
      <c r="A348" s="55">
        <v>46369</v>
      </c>
      <c r="B348" s="56" t="s">
        <v>105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5"/>
        <v>0</v>
      </c>
      <c r="H348" s="61"/>
      <c r="I348" s="59"/>
    </row>
    <row r="349" spans="1:9" x14ac:dyDescent="0.25">
      <c r="A349" s="55">
        <v>46370</v>
      </c>
      <c r="B349" s="56" t="s">
        <v>105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5"/>
        <v>0</v>
      </c>
      <c r="H349" s="58">
        <f>SUM(G349:G355)</f>
        <v>0</v>
      </c>
      <c r="I349" s="59"/>
    </row>
    <row r="350" spans="1:9" x14ac:dyDescent="0.25">
      <c r="A350" s="55">
        <v>46371</v>
      </c>
      <c r="B350" s="56" t="s">
        <v>105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5"/>
        <v>0</v>
      </c>
      <c r="H350" s="60"/>
      <c r="I350" s="59"/>
    </row>
    <row r="351" spans="1:9" x14ac:dyDescent="0.25">
      <c r="A351" s="55">
        <v>46372</v>
      </c>
      <c r="B351" s="56" t="s">
        <v>105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5"/>
        <v>0</v>
      </c>
      <c r="H351" s="60"/>
      <c r="I351" s="59"/>
    </row>
    <row r="352" spans="1:9" x14ac:dyDescent="0.25">
      <c r="A352" s="55">
        <v>46373</v>
      </c>
      <c r="B352" s="56" t="s">
        <v>105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5"/>
        <v>0</v>
      </c>
      <c r="H352" s="60"/>
      <c r="I352" s="59"/>
    </row>
    <row r="353" spans="1:9" x14ac:dyDescent="0.25">
      <c r="A353" s="55">
        <v>46374</v>
      </c>
      <c r="B353" s="56" t="s">
        <v>105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5"/>
        <v>0</v>
      </c>
      <c r="H353" s="60"/>
      <c r="I353" s="59"/>
    </row>
    <row r="354" spans="1:9" x14ac:dyDescent="0.25">
      <c r="A354" s="55">
        <v>46375</v>
      </c>
      <c r="B354" s="56" t="s">
        <v>105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5"/>
        <v>0</v>
      </c>
      <c r="H354" s="60"/>
      <c r="I354" s="59"/>
    </row>
    <row r="355" spans="1:9" x14ac:dyDescent="0.25">
      <c r="A355" s="55">
        <v>46376</v>
      </c>
      <c r="B355" s="56" t="s">
        <v>105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5"/>
        <v>0</v>
      </c>
      <c r="H355" s="61"/>
      <c r="I355" s="59"/>
    </row>
    <row r="356" spans="1:9" x14ac:dyDescent="0.25">
      <c r="A356" s="55">
        <v>46377</v>
      </c>
      <c r="B356" s="56" t="s">
        <v>105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5"/>
        <v>0</v>
      </c>
      <c r="H356" s="58">
        <f>SUM(G356:G362)</f>
        <v>0</v>
      </c>
      <c r="I356" s="59"/>
    </row>
    <row r="357" spans="1:9" x14ac:dyDescent="0.25">
      <c r="A357" s="55">
        <v>46378</v>
      </c>
      <c r="B357" s="56" t="s">
        <v>105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5"/>
        <v>0</v>
      </c>
      <c r="H357" s="60"/>
      <c r="I357" s="59"/>
    </row>
    <row r="358" spans="1:9" x14ac:dyDescent="0.25">
      <c r="A358" s="55">
        <v>46379</v>
      </c>
      <c r="B358" s="56" t="s">
        <v>105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5"/>
        <v>0</v>
      </c>
      <c r="H358" s="60"/>
      <c r="I358" s="59"/>
    </row>
    <row r="359" spans="1:9" x14ac:dyDescent="0.25">
      <c r="A359" s="55">
        <v>46380</v>
      </c>
      <c r="B359" s="56" t="s">
        <v>105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5"/>
        <v>0</v>
      </c>
      <c r="H359" s="60"/>
      <c r="I359" s="59"/>
    </row>
    <row r="360" spans="1:9" x14ac:dyDescent="0.25">
      <c r="A360" s="55">
        <v>46381</v>
      </c>
      <c r="B360" s="56" t="s">
        <v>105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5"/>
        <v>0</v>
      </c>
      <c r="H360" s="60"/>
      <c r="I360" s="59"/>
    </row>
    <row r="361" spans="1:9" x14ac:dyDescent="0.25">
      <c r="A361" s="55">
        <v>46382</v>
      </c>
      <c r="B361" s="56" t="s">
        <v>105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5"/>
        <v>0</v>
      </c>
      <c r="H361" s="60"/>
      <c r="I361" s="59"/>
    </row>
    <row r="362" spans="1:9" x14ac:dyDescent="0.25">
      <c r="A362" s="55">
        <v>46383</v>
      </c>
      <c r="B362" s="56" t="s">
        <v>105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5"/>
        <v>0</v>
      </c>
      <c r="H362" s="61"/>
      <c r="I362" s="59"/>
    </row>
    <row r="363" spans="1:9" x14ac:dyDescent="0.25">
      <c r="A363" s="55">
        <v>46384</v>
      </c>
      <c r="B363" s="56" t="s">
        <v>105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5"/>
        <v>0</v>
      </c>
      <c r="H363" s="63"/>
      <c r="I363" s="59"/>
    </row>
    <row r="364" spans="1:9" x14ac:dyDescent="0.25">
      <c r="A364" s="55">
        <v>46385</v>
      </c>
      <c r="B364" s="56" t="s">
        <v>105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5"/>
        <v>0</v>
      </c>
      <c r="H364" s="63"/>
      <c r="I364" s="59"/>
    </row>
    <row r="365" spans="1:9" x14ac:dyDescent="0.25">
      <c r="A365" s="55">
        <v>46386</v>
      </c>
      <c r="B365" s="56" t="s">
        <v>105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5"/>
        <v>0</v>
      </c>
      <c r="H365" s="63"/>
      <c r="I365" s="59"/>
    </row>
    <row r="366" spans="1:9" x14ac:dyDescent="0.25">
      <c r="A366" s="55">
        <v>46387</v>
      </c>
      <c r="B366" s="56" t="s">
        <v>105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5"/>
        <v>0</v>
      </c>
      <c r="H366" s="63"/>
      <c r="I366" s="59"/>
    </row>
    <row r="367" spans="1:9" x14ac:dyDescent="0.25">
      <c r="A367" s="55">
        <v>46388</v>
      </c>
      <c r="B367" s="56" t="s">
        <v>105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5"/>
        <v>0</v>
      </c>
      <c r="H367" s="63"/>
      <c r="I367" s="59"/>
    </row>
  </sheetData>
  <mergeCells count="53">
    <mergeCell ref="H2:H5"/>
    <mergeCell ref="H6:H12"/>
    <mergeCell ref="K9:O17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83"/>
  <sheetViews>
    <sheetView workbookViewId="0" zoomScale="100" zoomScaleNormal="100">
      <selection activeCell="G23" sqref="G23"/>
    </sheetView>
  </sheetViews>
  <sheetFormatPr defaultRowHeight="15" outlineLevelRow="0" outlineLevelCol="0" x14ac:dyDescent="0"/>
  <cols>
    <col min="1" max="1" width="29.140625" customWidth="1"/>
    <col min="2" max="2" width="18.7109375" customWidth="1"/>
    <col min="3" max="3" width="13.5703125" customWidth="1"/>
    <col min="4" max="4" width="13.140625" customWidth="1"/>
    <col min="5" max="5" width="19.140625" customWidth="1"/>
    <col min="6" max="6" width="15.42578125" customWidth="1"/>
    <col min="7" max="7" width="19" customWidth="1"/>
    <col min="8" max="8" width="7.140625" customWidth="1"/>
    <col min="11" max="12" hidden="1" customWidth="1"/>
  </cols>
  <sheetData>
    <row r="1" ht="23.25" customHeight="1" spans="1:69" x14ac:dyDescent="0.25">
      <c r="A1" s="76" t="s">
        <v>106</v>
      </c>
      <c r="B1" s="76"/>
      <c r="C1" s="76"/>
      <c r="D1" s="76"/>
      <c r="E1" s="76"/>
      <c r="F1" s="76"/>
      <c r="G1" s="76"/>
      <c r="H1" s="76"/>
      <c r="I1" s="76"/>
      <c r="J1" s="76"/>
      <c r="L1" t="s">
        <v>107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x14ac:dyDescent="0.25">
      <c r="A2" s="5"/>
      <c r="C2" s="5"/>
      <c r="D2" s="5"/>
      <c r="E2" s="5"/>
      <c r="F2" s="5"/>
      <c r="G2" s="5"/>
      <c r="H2" s="5"/>
      <c r="I2" s="5"/>
      <c r="J2" s="5"/>
      <c r="K2" s="5"/>
      <c r="L2" s="5" t="s">
        <v>14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15.75" customHeight="1" spans="1:69" x14ac:dyDescent="0.25">
      <c r="A3" s="77" t="s">
        <v>108</v>
      </c>
      <c r="B3" s="78" t="s">
        <v>107</v>
      </c>
      <c r="C3" s="5"/>
      <c r="D3" s="5"/>
      <c r="E3" s="5"/>
      <c r="F3" s="5"/>
      <c r="G3" s="5"/>
      <c r="H3" s="5"/>
      <c r="I3" s="5"/>
      <c r="J3" s="5"/>
      <c r="K3" s="5"/>
      <c r="L3" s="5" t="s">
        <v>15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9.95" customHeight="1" spans="1:6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 t="s">
        <v>44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 ht="24.95" customHeight="1" spans="1:69" x14ac:dyDescent="0.25">
      <c r="A5" s="79" t="s">
        <v>109</v>
      </c>
      <c r="B5" s="80"/>
      <c r="C5" s="79" t="s">
        <v>110</v>
      </c>
      <c r="D5" s="80"/>
      <c r="E5" s="79" t="s">
        <v>111</v>
      </c>
      <c r="F5" s="80"/>
      <c r="G5" s="79" t="s">
        <v>112</v>
      </c>
      <c r="H5" s="81"/>
      <c r="I5" s="5"/>
      <c r="J5" s="5"/>
      <c r="K5" s="5"/>
      <c r="L5" s="5" t="s">
        <v>17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  <row r="6" ht="39.95" customHeight="1" spans="1:69" x14ac:dyDescent="0.25">
      <c r="A6" s="82">
        <f>IF($B$3="All Games",'Consolidated KPI'!B24+'Consolidated KPI'!C24+'Consolidated KPI'!D24+'Consolidated KPI'!E24,IF($B$3="Taival",'Consolidated KPI'!B24,IF($B$3="Colossus",'Consolidated KPI'!C24,IF($B$3="Putania's Purgatory",'Consolidated KPI'!D24,IF($B$3="Fleet Breakers",'Consolidated KPI'!E24,"")))))</f>
        <v>9775</v>
      </c>
      <c r="B6" s="83"/>
      <c r="C6" s="84">
        <f>IF($B$3="All Games",A6/('Consolidated KPI'!B26+'Consolidated KPI'!C26+'Consolidated KPI'!D26+'Consolidated KPI'!E26),IF($B$3="Taival",'Consolidated KPI'!B24/'Consolidated KPI'!B26,IF($B$3="Colossus",'Consolidated KPI'!C24/'Consolidated KPI'!C26,IF($B$3="Putania's Purgatory",'Consolidated KPI'!D24/'Consolidated KPI'!D26,IF($B$3="Fleet Breakers",'Consolidated KPI'!E24/'Consolidated KPI'!E26,"")))))</f>
        <v>0.07835859780195115</v>
      </c>
      <c r="D6" s="85"/>
      <c r="E6" s="82">
        <f>IF($B$3="All Games",'Consolidated KPI'!Q2+'Consolidated KPI'!Q6+'Consolidated KPI'!Q10+'Consolidated KPI'!Q14,IF($B$3="Taival",'Consolidated KPI'!Q2,IF($B$3="Colossus",'Consolidated KPI'!Q6,IF($B$3="Putania's Purgatory",'Consolidated KPI'!Q10,IF($B$3="Fleet Breakers",'Consolidated KPI'!Q14,"")))))</f>
        <v>987</v>
      </c>
      <c r="F6" s="83"/>
      <c r="G6" s="82">
        <f>IF($B$3="All Games",'Consolidated KPI'!B25+'Consolidated KPI'!C25+'Consolidated KPI'!D25+'Consolidated KPI'!E25,IF($B$3="Taival",'Consolidated KPI'!B25,IF($B$3="Colossus",'Consolidated KPI'!C25,IF($B$3="Putania's Purgatory",'Consolidated KPI'!D25,IF($B$3="Fleet Breakers",'Consolidated KPI'!E25,"")))))</f>
        <v>501956</v>
      </c>
      <c r="H6" s="86"/>
      <c r="I6" s="5"/>
      <c r="J6" s="5"/>
      <c r="K6" s="5"/>
      <c r="L6" s="5" t="s">
        <v>95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1:6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 ht="18.75" customHeight="1" spans="1:69" x14ac:dyDescent="0.25">
      <c r="A8" s="87" t="s">
        <v>113</v>
      </c>
      <c r="B8" s="5"/>
      <c r="C8" s="5"/>
      <c r="D8" s="5"/>
      <c r="E8" s="5"/>
      <c r="G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</row>
    <row r="9" spans="1:69" x14ac:dyDescent="0.25">
      <c r="A9" s="88" t="s">
        <v>114</v>
      </c>
      <c r="B9" s="89" t="str">
        <f>IF($B$3="All Games","All Games",$B$3)</f>
        <v>All Games</v>
      </c>
      <c r="C9" s="90" t="str">
        <f>IF($B$3="All Games","Taival","")</f>
        <v>Taival</v>
      </c>
      <c r="D9" s="90" t="str">
        <f>IF($B$3="All Games","Colossus","")</f>
        <v>Colossus</v>
      </c>
      <c r="E9" s="90" t="str">
        <f>IF($B$3="All Games","Putania's Purgatory","")</f>
        <v>Putania's Purgatory</v>
      </c>
      <c r="F9" s="91" t="str">
        <f>IF($B$3="All Games","Fleet Breakers","")</f>
        <v>Fleet Breakers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</row>
    <row r="10" spans="1:69" x14ac:dyDescent="0.25">
      <c r="A10" s="92">
        <f>'Consolidated KPI'!B1</f>
        <v>46026</v>
      </c>
      <c r="B10" s="93">
        <f>IF($B$3="All Games",'Consolidated KPI'!B2+'Consolidated KPI'!B6+'Consolidated KPI'!B10+'Consolidated KPI'!B14,IF($B$3="Taival",'Consolidated KPI'!B2,IF($B$3="Colossus",'Consolidated KPI'!B6,IF($B$3="Putania's Purgatory",'Consolidated KPI'!B10,IF($B$3="Fleet Breakers",'Consolidated KPI'!B14,"")))))</f>
        <v>230</v>
      </c>
      <c r="C10" s="93">
        <f>IF($B$3="All Games",'Consolidated KPI'!B2,"")</f>
        <v>4</v>
      </c>
      <c r="D10" s="93">
        <f>IF($B$3="All Games",'Consolidated KPI'!B6,"")</f>
        <v>22</v>
      </c>
      <c r="E10" s="93">
        <f>IF($B$3="All Games",'Consolidated KPI'!B10,"")</f>
        <v>155</v>
      </c>
      <c r="F10" s="93">
        <f>IF($B$3="All Games",'Consolidated KPI'!B14,"")</f>
        <v>49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</row>
    <row r="11" spans="1:69" x14ac:dyDescent="0.25">
      <c r="A11" s="92">
        <f>'Consolidated KPI'!C1</f>
        <v>46033</v>
      </c>
      <c r="B11" s="93">
        <f>IF($B$3="All Games",'Consolidated KPI'!C2+'Consolidated KPI'!C6+'Consolidated KPI'!C10+'Consolidated KPI'!C14,IF($B$3="Taival",'Consolidated KPI'!C2,IF($B$3="Colossus",'Consolidated KPI'!C6,IF($B$3="Putania's Purgatory",'Consolidated KPI'!C10,IF($B$3="Fleet Breakers",'Consolidated KPI'!C14,"")))))</f>
        <v>136</v>
      </c>
      <c r="C11" s="93">
        <f>IF($B$3="All Games",'Consolidated KPI'!C2,"")</f>
        <v>2</v>
      </c>
      <c r="D11" s="93">
        <f>IF($B$3="All Games",'Consolidated KPI'!C6,"")</f>
        <v>22</v>
      </c>
      <c r="E11" s="93">
        <f>IF($B$3="All Games",'Consolidated KPI'!C10,"")</f>
        <v>36</v>
      </c>
      <c r="F11" s="93">
        <f>IF($B$3="All Games",'Consolidated KPI'!C14,"")</f>
        <v>76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</row>
    <row r="12" spans="1:69" x14ac:dyDescent="0.25">
      <c r="A12" s="92">
        <f>'Consolidated KPI'!D1</f>
        <v>46040</v>
      </c>
      <c r="B12" s="93">
        <f>IF($B$3="All Games",'Consolidated KPI'!D2+'Consolidated KPI'!D6+'Consolidated KPI'!D10+'Consolidated KPI'!D14,IF($B$3="Taival",'Consolidated KPI'!D2,IF($B$3="Colossus",'Consolidated KPI'!D6,IF($B$3="Putania's Purgatory",'Consolidated KPI'!D10,IF($B$3="Fleet Breakers",'Consolidated KPI'!D14,"")))))</f>
        <v>193</v>
      </c>
      <c r="C12" s="93">
        <f>IF($B$3="All Games",'Consolidated KPI'!D2,"")</f>
        <v>16</v>
      </c>
      <c r="D12" s="93">
        <f>IF($B$3="All Games",'Consolidated KPI'!D6,"")</f>
        <v>23</v>
      </c>
      <c r="E12" s="93">
        <f>IF($B$3="All Games",'Consolidated KPI'!D10,"")</f>
        <v>16</v>
      </c>
      <c r="F12" s="93">
        <f>IF($B$3="All Games",'Consolidated KPI'!D14,"")</f>
        <v>138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</row>
    <row r="13" spans="1:69" x14ac:dyDescent="0.25">
      <c r="A13" s="92">
        <f>'Consolidated KPI'!E1</f>
        <v>46047</v>
      </c>
      <c r="B13" s="93">
        <f>IF($B$3="All Games",'Consolidated KPI'!E2+'Consolidated KPI'!E6+'Consolidated KPI'!E10+'Consolidated KPI'!E14,IF($B$3="Taival",'Consolidated KPI'!E2,IF($B$3="Colossus",'Consolidated KPI'!E6,IF($B$3="Putania's Purgatory",'Consolidated KPI'!E10,IF($B$3="Fleet Breakers",'Consolidated KPI'!E14,"")))))</f>
        <v>65</v>
      </c>
      <c r="C13" s="93">
        <f>IF($B$3="All Games",'Consolidated KPI'!E2,"")</f>
        <v>0</v>
      </c>
      <c r="D13" s="93">
        <f>IF($B$3="All Games",'Consolidated KPI'!E6,"")</f>
        <v>20</v>
      </c>
      <c r="E13" s="93">
        <f>IF($B$3="All Games",'Consolidated KPI'!E10,"")</f>
        <v>12</v>
      </c>
      <c r="F13" s="93">
        <f>IF($B$3="All Games",'Consolidated KPI'!E14,"")</f>
        <v>33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</row>
    <row r="14" spans="1:69" x14ac:dyDescent="0.25">
      <c r="A14" s="92">
        <f>'Consolidated KPI'!F1</f>
        <v>46054</v>
      </c>
      <c r="B14" s="93">
        <f>IF($B$3="All Games",'Consolidated KPI'!F2+'Consolidated KPI'!F6+'Consolidated KPI'!F10+'Consolidated KPI'!F14,IF($B$3="Taival",'Consolidated KPI'!F2,IF($B$3="Colossus",'Consolidated KPI'!F6,IF($B$3="Putania's Purgatory",'Consolidated KPI'!F10,IF($B$3="Fleet Breakers",'Consolidated KPI'!F14,"")))))</f>
        <v>305</v>
      </c>
      <c r="C14" s="93">
        <f>IF($B$3="All Games",'Consolidated KPI'!F2,"")</f>
        <v>-2</v>
      </c>
      <c r="D14" s="93">
        <f>IF($B$3="All Games",'Consolidated KPI'!F6,"")</f>
        <v>286</v>
      </c>
      <c r="E14" s="93">
        <f>IF($B$3="All Games",'Consolidated KPI'!F10,"")</f>
        <v>23</v>
      </c>
      <c r="F14" s="93">
        <f>IF($B$3="All Games",'Consolidated KPI'!F14,"")</f>
        <v>-2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</row>
    <row r="15" spans="1:69" x14ac:dyDescent="0.25">
      <c r="A15" s="92">
        <f>'Consolidated KPI'!G1</f>
        <v>46061</v>
      </c>
      <c r="B15" s="93">
        <f>IF($B$3="All Games",'Consolidated KPI'!G2+'Consolidated KPI'!G6+'Consolidated KPI'!G10+'Consolidated KPI'!G14,IF($B$3="Taival",'Consolidated KPI'!G2,IF($B$3="Colossus",'Consolidated KPI'!G6,IF($B$3="Putania's Purgatory",'Consolidated KPI'!G10,IF($B$3="Fleet Breakers",'Consolidated KPI'!G14,"")))))</f>
        <v>126</v>
      </c>
      <c r="C15" s="93">
        <f>IF($B$3="All Games",'Consolidated KPI'!G2,"")</f>
        <v>-6</v>
      </c>
      <c r="D15" s="93">
        <f>IF($B$3="All Games",'Consolidated KPI'!G6,"")</f>
        <v>90</v>
      </c>
      <c r="E15" s="93">
        <f>IF($B$3="All Games",'Consolidated KPI'!G10,"")</f>
        <v>30</v>
      </c>
      <c r="F15" s="93">
        <f>IF($B$3="All Games",'Consolidated KPI'!G14,"")</f>
        <v>12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</row>
    <row r="16" spans="1:69" x14ac:dyDescent="0.25">
      <c r="A16" s="92">
        <f>'Consolidated KPI'!H1</f>
        <v>46068</v>
      </c>
      <c r="B16" s="93">
        <f>IF($B$3="All Games",'Consolidated KPI'!H2+'Consolidated KPI'!H6+'Consolidated KPI'!H10+'Consolidated KPI'!H14,IF($B$3="Taival",'Consolidated KPI'!H2,IF($B$3="Colossus",'Consolidated KPI'!H6,IF($B$3="Putania's Purgatory",'Consolidated KPI'!H10,IF($B$3="Fleet Breakers",'Consolidated KPI'!H14,"")))))</f>
        <v>166</v>
      </c>
      <c r="C16" s="93">
        <f>IF($B$3="All Games",'Consolidated KPI'!H2,"")</f>
        <v>4</v>
      </c>
      <c r="D16" s="93">
        <f>IF($B$3="All Games",'Consolidated KPI'!H6,"")</f>
        <v>132</v>
      </c>
      <c r="E16" s="93">
        <f>IF($B$3="All Games",'Consolidated KPI'!H10,"")</f>
        <v>29</v>
      </c>
      <c r="F16" s="93">
        <f>IF($B$3="All Games",'Consolidated KPI'!H14,"")</f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</row>
    <row r="17" spans="1:69" x14ac:dyDescent="0.25">
      <c r="A17" s="92">
        <f>'Consolidated KPI'!I1</f>
        <v>46075</v>
      </c>
      <c r="B17" s="93">
        <f>IF($B$3="All Games",'Consolidated KPI'!I2+'Consolidated KPI'!I6+'Consolidated KPI'!I10+'Consolidated KPI'!I14,IF($B$3="Taival",'Consolidated KPI'!I2,IF($B$3="Colossus",'Consolidated KPI'!I6,IF($B$3="Putania's Purgatory",'Consolidated KPI'!I10,IF($B$3="Fleet Breakers",'Consolidated KPI'!I14,"")))))</f>
        <v>156</v>
      </c>
      <c r="C17" s="93">
        <f>IF($B$3="All Games",'Consolidated KPI'!I2,"")</f>
        <v>26</v>
      </c>
      <c r="D17" s="93">
        <f>IF($B$3="All Games",'Consolidated KPI'!I6,"")</f>
        <v>54</v>
      </c>
      <c r="E17" s="93">
        <f>IF($B$3="All Games",'Consolidated KPI'!I10,"")</f>
        <v>76</v>
      </c>
      <c r="F17" s="93">
        <f>IF($B$3="All Games",'Consolidated KPI'!I14,"")</f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</row>
    <row r="18" spans="1:69" x14ac:dyDescent="0.25">
      <c r="A18" s="92">
        <f>'Consolidated KPI'!J1</f>
        <v>46082</v>
      </c>
      <c r="B18" s="93">
        <f>IF($B$3="All Games",'Consolidated KPI'!J2+'Consolidated KPI'!J6+'Consolidated KPI'!J10+'Consolidated KPI'!J14,IF($B$3="Taival",'Consolidated KPI'!J2,IF($B$3="Colossus",'Consolidated KPI'!J6,IF($B$3="Putania's Purgatory",'Consolidated KPI'!J10,IF($B$3="Fleet Breakers",'Consolidated KPI'!J14,"")))))</f>
        <v>1037</v>
      </c>
      <c r="C18" s="93">
        <f>IF($B$3="All Games",'Consolidated KPI'!J2,"")</f>
        <v>3</v>
      </c>
      <c r="D18" s="93">
        <f>IF($B$3="All Games",'Consolidated KPI'!J6,"")</f>
        <v>89</v>
      </c>
      <c r="E18" s="93">
        <f>IF($B$3="All Games",'Consolidated KPI'!J10,"")</f>
        <v>959</v>
      </c>
      <c r="F18" s="93">
        <f>IF($B$3="All Games",'Consolidated KPI'!J14,"")</f>
        <v>-14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</row>
    <row r="19" spans="1:69" x14ac:dyDescent="0.25">
      <c r="A19" s="92">
        <f>'Consolidated KPI'!K1</f>
        <v>46089</v>
      </c>
      <c r="B19" s="93">
        <f>IF($B$3="All Games",'Consolidated KPI'!K2+'Consolidated KPI'!K6+'Consolidated KPI'!K10+'Consolidated KPI'!K14,IF($B$3="Taival",'Consolidated KPI'!K2,IF($B$3="Colossus",'Consolidated KPI'!K6,IF($B$3="Putania's Purgatory",'Consolidated KPI'!K10,IF($B$3="Fleet Breakers",'Consolidated KPI'!K14,"")))))</f>
        <v>118</v>
      </c>
      <c r="C19" s="93">
        <f>IF($B$3="All Games",'Consolidated KPI'!K2,"")</f>
        <v>7</v>
      </c>
      <c r="D19" s="93">
        <f>IF($B$3="All Games",'Consolidated KPI'!K6,"")</f>
        <v>69</v>
      </c>
      <c r="E19" s="93">
        <f>IF($B$3="All Games",'Consolidated KPI'!K10,"")</f>
        <v>37</v>
      </c>
      <c r="F19" s="93">
        <f>IF($B$3="All Games",'Consolidated KPI'!K14,"")</f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</row>
    <row r="20" spans="1:69" x14ac:dyDescent="0.25">
      <c r="A20" s="92">
        <f>'Consolidated KPI'!L1</f>
        <v>46096</v>
      </c>
      <c r="B20" s="93">
        <f>IF($B$3="All Games",'Consolidated KPI'!L2+'Consolidated KPI'!L6+'Consolidated KPI'!L10+'Consolidated KPI'!L14,IF($B$3="Taival",'Consolidated KPI'!L2,IF($B$3="Colossus",'Consolidated KPI'!L6,IF($B$3="Putania's Purgatory",'Consolidated KPI'!L10,IF($B$3="Fleet Breakers",'Consolidated KPI'!L14,"")))))</f>
        <v>131</v>
      </c>
      <c r="C20" s="93">
        <f>IF($B$3="All Games",'Consolidated KPI'!L2,"")</f>
        <v>11</v>
      </c>
      <c r="D20" s="93">
        <f>IF($B$3="All Games",'Consolidated KPI'!L6,"")</f>
        <v>95</v>
      </c>
      <c r="E20" s="93">
        <f>IF($B$3="All Games",'Consolidated KPI'!L10,"")</f>
        <v>24</v>
      </c>
      <c r="F20" s="93">
        <f>IF($B$3="All Games",'Consolidated KPI'!L14,"")</f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</row>
    <row r="21" spans="1:69" x14ac:dyDescent="0.25">
      <c r="A21" s="92">
        <f>'Consolidated KPI'!M1</f>
        <v>46103</v>
      </c>
      <c r="B21" s="93">
        <f>IF($B$3="All Games",'Consolidated KPI'!M2+'Consolidated KPI'!M6+'Consolidated KPI'!M10+'Consolidated KPI'!M14,IF($B$3="Taival",'Consolidated KPI'!M2,IF($B$3="Colossus",'Consolidated KPI'!M6,IF($B$3="Putania's Purgatory",'Consolidated KPI'!M10,IF($B$3="Fleet Breakers",'Consolidated KPI'!M14,"")))))</f>
        <v>246</v>
      </c>
      <c r="C21" s="93">
        <f>IF($B$3="All Games",'Consolidated KPI'!M2,"")</f>
        <v>22</v>
      </c>
      <c r="D21" s="93">
        <f>IF($B$3="All Games",'Consolidated KPI'!M6,"")</f>
        <v>218</v>
      </c>
      <c r="E21" s="93">
        <f>IF($B$3="All Games",'Consolidated KPI'!M10,"")</f>
        <v>11</v>
      </c>
      <c r="F21" s="93">
        <f>IF($B$3="All Games",'Consolidated KPI'!M14,"")</f>
        <v>-5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</row>
    <row r="22" spans="1:69" x14ac:dyDescent="0.25">
      <c r="A22" s="92">
        <f>'Consolidated KPI'!N1</f>
        <v>46110</v>
      </c>
      <c r="B22" s="93">
        <f>IF($B$3="All Games",'Consolidated KPI'!N2+'Consolidated KPI'!N6+'Consolidated KPI'!N10+'Consolidated KPI'!N14,IF($B$3="Taival",'Consolidated KPI'!N2,IF($B$3="Colossus",'Consolidated KPI'!N6,IF($B$3="Putania's Purgatory",'Consolidated KPI'!N10,IF($B$3="Fleet Breakers",'Consolidated KPI'!N14,"")))))</f>
        <v>148</v>
      </c>
      <c r="C22" s="93">
        <f>IF($B$3="All Games",'Consolidated KPI'!N2,"")</f>
        <v>27</v>
      </c>
      <c r="D22" s="93">
        <f>IF($B$3="All Games",'Consolidated KPI'!N6,"")</f>
        <v>106</v>
      </c>
      <c r="E22" s="93">
        <f>IF($B$3="All Games",'Consolidated KPI'!N10,"")</f>
        <v>17</v>
      </c>
      <c r="F22" s="93">
        <f>IF($B$3="All Games",'Consolidated KPI'!N14,"")</f>
        <v>-2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</row>
    <row r="23" spans="1:69" x14ac:dyDescent="0.25">
      <c r="A23" s="92">
        <f>'Consolidated KPI'!O1</f>
        <v>46117</v>
      </c>
      <c r="B23" s="93">
        <f>IF($B$3="All Games",'Consolidated KPI'!O2+'Consolidated KPI'!O6+'Consolidated KPI'!O10+'Consolidated KPI'!O14,IF($B$3="Taival",'Consolidated KPI'!O2,IF($B$3="Colossus",'Consolidated KPI'!O6,IF($B$3="Putania's Purgatory",'Consolidated KPI'!O10,IF($B$3="Fleet Breakers",'Consolidated KPI'!O14,"")))))</f>
        <v>381</v>
      </c>
      <c r="C23" s="93">
        <f>IF($B$3="All Games",'Consolidated KPI'!O2,"")</f>
        <v>249</v>
      </c>
      <c r="D23" s="93">
        <f>IF($B$3="All Games",'Consolidated KPI'!O6,"")</f>
        <v>83</v>
      </c>
      <c r="E23" s="93">
        <f>IF($B$3="All Games",'Consolidated KPI'!O10,"")</f>
        <v>41</v>
      </c>
      <c r="F23" s="93">
        <f>IF($B$3="All Games",'Consolidated KPI'!O14,"")</f>
        <v>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</row>
    <row r="24" spans="1:69" x14ac:dyDescent="0.25">
      <c r="A24" s="92">
        <f>'Consolidated KPI'!P1</f>
        <v>46124</v>
      </c>
      <c r="B24" s="93">
        <f>IF($B$3="All Games",'Consolidated KPI'!P2+'Consolidated KPI'!P6+'Consolidated KPI'!P10+'Consolidated KPI'!P14,IF($B$3="Taival",'Consolidated KPI'!P2,IF($B$3="Colossus",'Consolidated KPI'!P6,IF($B$3="Putania's Purgatory",'Consolidated KPI'!P10,IF($B$3="Fleet Breakers",'Consolidated KPI'!P14,"")))))</f>
        <v>498</v>
      </c>
      <c r="C24" s="93">
        <f>IF($B$3="All Games",'Consolidated KPI'!P2,"")</f>
        <v>363</v>
      </c>
      <c r="D24" s="93">
        <f>IF($B$3="All Games",'Consolidated KPI'!P6,"")</f>
        <v>92</v>
      </c>
      <c r="E24" s="93">
        <f>IF($B$3="All Games",'Consolidated KPI'!P10,"")</f>
        <v>35</v>
      </c>
      <c r="F24" s="93">
        <f>IF($B$3="All Games",'Consolidated KPI'!P14,"")</f>
        <v>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</row>
    <row r="25" spans="1:69" x14ac:dyDescent="0.25">
      <c r="A25" s="92">
        <f>'Consolidated KPI'!Q1</f>
        <v>46131</v>
      </c>
      <c r="B25" s="93">
        <f>IF($B$3="All Games",'Consolidated KPI'!Q2+'Consolidated KPI'!Q6+'Consolidated KPI'!Q10+'Consolidated KPI'!Q14,IF($B$3="Taival",'Consolidated KPI'!Q2,IF($B$3="Colossus",'Consolidated KPI'!Q6,IF($B$3="Putania's Purgatory",'Consolidated KPI'!Q10,IF($B$3="Fleet Breakers",'Consolidated KPI'!Q14,"")))))</f>
        <v>987</v>
      </c>
      <c r="C25" s="93">
        <f>IF($B$3="All Games",'Consolidated KPI'!Q2,"")</f>
        <v>668</v>
      </c>
      <c r="D25" s="93">
        <f>IF($B$3="All Games",'Consolidated KPI'!Q6,"")</f>
        <v>295</v>
      </c>
      <c r="E25" s="93">
        <f>IF($B$3="All Games",'Consolidated KPI'!Q10,"")</f>
        <v>28</v>
      </c>
      <c r="F25" s="93">
        <f>IF($B$3="All Games",'Consolidated KPI'!Q14,"")</f>
        <v>-4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</row>
    <row r="26" spans="1:6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</row>
    <row r="27" spans="1:6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</row>
    <row r="28" spans="1:6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</row>
    <row r="29" spans="1:6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</row>
    <row r="30" ht="18.75" customHeight="1" spans="1:69" x14ac:dyDescent="0.25">
      <c r="A30" s="87" t="s">
        <v>115</v>
      </c>
      <c r="B30" s="5"/>
      <c r="C30" s="5"/>
      <c r="D30" s="5"/>
      <c r="E30" s="5"/>
      <c r="F30" s="9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</row>
    <row r="31" spans="1:69" x14ac:dyDescent="0.25">
      <c r="A31" s="95" t="s">
        <v>114</v>
      </c>
      <c r="B31" s="96" t="str">
        <f>IF($B$3="All Games","All Games",$B$3)</f>
        <v>All Games</v>
      </c>
      <c r="C31" s="97" t="str">
        <f>IF($B$3="All Games","Taival","")</f>
        <v>Taival</v>
      </c>
      <c r="D31" s="97" t="str">
        <f>IF($B$3="All Games","Colossus","")</f>
        <v>Colossus</v>
      </c>
      <c r="E31" s="97" t="str">
        <f>IF($B$3="All Games","Putania's Purgatory","")</f>
        <v>Putania's Purgatory</v>
      </c>
      <c r="F31" s="98" t="str">
        <f>IF($B$3="All Games","Fleet Breakers","")</f>
        <v>Fleet Breakers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</row>
    <row r="32" spans="1:69" x14ac:dyDescent="0.25">
      <c r="A32" s="92">
        <f>'Consolidated KPI'!B1</f>
        <v>46026</v>
      </c>
      <c r="B32" s="93">
        <f>IF($B$3="All Games",'Consolidated KPI'!B3+'Consolidated KPI'!B7+'Consolidated KPI'!B11+'Consolidated KPI'!B15,IF($B$3="Taival",'Consolidated KPI'!B3,IF($B$3="Colossus",'Consolidated KPI'!B7,IF($B$3="Putania's Purgatory",'Consolidated KPI'!B11,IF($B$3="Fleet Breakers",'Consolidated KPI'!B15,"")))))</f>
        <v>15037</v>
      </c>
      <c r="C32" s="93">
        <f>IF($B$3="All Games",'Consolidated KPI'!B3,"")</f>
        <v>5095</v>
      </c>
      <c r="D32" s="93">
        <f>IF($B$3="All Games",'Consolidated KPI'!B7,"")</f>
        <v>1568</v>
      </c>
      <c r="E32" s="93">
        <f>IF($B$3="All Games",'Consolidated KPI'!B11,"")</f>
        <v>3279</v>
      </c>
      <c r="F32" s="93">
        <f>IF($B$3="All Games",'Consolidated KPI'!B15,"")</f>
        <v>5095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</row>
    <row r="33" spans="1:69" x14ac:dyDescent="0.25">
      <c r="A33" s="92">
        <f>'Consolidated KPI'!C1</f>
        <v>46033</v>
      </c>
      <c r="B33" s="93">
        <f>IF($B$3="All Games",'Consolidated KPI'!C3+'Consolidated KPI'!C7+'Consolidated KPI'!C11+'Consolidated KPI'!C15,IF($B$3="Taival",'Consolidated KPI'!C3,IF($B$3="Colossus",'Consolidated KPI'!C7,IF($B$3="Putania's Purgatory",'Consolidated KPI'!C11,IF($B$3="Fleet Breakers",'Consolidated KPI'!C15,"")))))</f>
        <v>19377</v>
      </c>
      <c r="C33" s="93">
        <f>IF($B$3="All Games",'Consolidated KPI'!C3,"")</f>
        <v>6399</v>
      </c>
      <c r="D33" s="93">
        <f>IF($B$3="All Games",'Consolidated KPI'!C7,"")</f>
        <v>1879</v>
      </c>
      <c r="E33" s="93">
        <f>IF($B$3="All Games",'Consolidated KPI'!C11,"")</f>
        <v>4700</v>
      </c>
      <c r="F33" s="93">
        <f>IF($B$3="All Games",'Consolidated KPI'!C15,"")</f>
        <v>6399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</row>
    <row r="34" spans="1:69" x14ac:dyDescent="0.25">
      <c r="A34" s="92">
        <f>'Consolidated KPI'!D1</f>
        <v>46040</v>
      </c>
      <c r="B34" s="93">
        <f>IF($B$3="All Games",'Consolidated KPI'!D3+'Consolidated KPI'!D7+'Consolidated KPI'!D11+'Consolidated KPI'!D15,IF($B$3="Taival",'Consolidated KPI'!D3,IF($B$3="Colossus",'Consolidated KPI'!D7,IF($B$3="Putania's Purgatory",'Consolidated KPI'!D11,IF($B$3="Fleet Breakers",'Consolidated KPI'!D15,"")))))</f>
        <v>16576</v>
      </c>
      <c r="C34" s="93">
        <f>IF($B$3="All Games",'Consolidated KPI'!D3,"")</f>
        <v>5490</v>
      </c>
      <c r="D34" s="93">
        <f>IF($B$3="All Games",'Consolidated KPI'!D7,"")</f>
        <v>2210</v>
      </c>
      <c r="E34" s="93">
        <f>IF($B$3="All Games",'Consolidated KPI'!D11,"")</f>
        <v>3386</v>
      </c>
      <c r="F34" s="93">
        <f>IF($B$3="All Games",'Consolidated KPI'!D15,"")</f>
        <v>5490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</row>
    <row r="35" spans="1:69" x14ac:dyDescent="0.25">
      <c r="A35" s="92">
        <f>'Consolidated KPI'!E1</f>
        <v>46047</v>
      </c>
      <c r="B35" s="93">
        <f>IF($B$3="All Games",'Consolidated KPI'!E3+'Consolidated KPI'!E7+'Consolidated KPI'!E11+'Consolidated KPI'!E15,IF($B$3="Taival",'Consolidated KPI'!E3,IF($B$3="Colossus",'Consolidated KPI'!E7,IF($B$3="Putania's Purgatory",'Consolidated KPI'!E11,IF($B$3="Fleet Breakers",'Consolidated KPI'!E15,"")))))</f>
        <v>15842</v>
      </c>
      <c r="C35" s="93">
        <f>IF($B$3="All Games",'Consolidated KPI'!E3,"")</f>
        <v>5392</v>
      </c>
      <c r="D35" s="93">
        <f>IF($B$3="All Games",'Consolidated KPI'!E7,"")</f>
        <v>2066</v>
      </c>
      <c r="E35" s="93">
        <f>IF($B$3="All Games",'Consolidated KPI'!E11,"")</f>
        <v>2992</v>
      </c>
      <c r="F35" s="93">
        <f>IF($B$3="All Games",'Consolidated KPI'!E15,"")</f>
        <v>5392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</row>
    <row r="36" spans="1:69" x14ac:dyDescent="0.25">
      <c r="A36" s="92">
        <f>'Consolidated KPI'!F1</f>
        <v>46054</v>
      </c>
      <c r="B36" s="93">
        <f>IF($B$3="All Games",'Consolidated KPI'!F3+'Consolidated KPI'!F7+'Consolidated KPI'!F11+'Consolidated KPI'!F15,IF($B$3="Taival",'Consolidated KPI'!F3,IF($B$3="Colossus",'Consolidated KPI'!F7,IF($B$3="Putania's Purgatory",'Consolidated KPI'!F11,IF($B$3="Fleet Breakers",'Consolidated KPI'!F15,"")))))</f>
        <v>16719</v>
      </c>
      <c r="C36" s="93">
        <f>IF($B$3="All Games",'Consolidated KPI'!F3,"")</f>
        <v>5225</v>
      </c>
      <c r="D36" s="93">
        <f>IF($B$3="All Games",'Consolidated KPI'!F7,"")</f>
        <v>3259</v>
      </c>
      <c r="E36" s="93">
        <f>IF($B$3="All Games",'Consolidated KPI'!F11,"")</f>
        <v>3010</v>
      </c>
      <c r="F36" s="93">
        <f>IF($B$3="All Games",'Consolidated KPI'!F15,"")</f>
        <v>5225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</row>
    <row r="37" spans="1:69" x14ac:dyDescent="0.25">
      <c r="A37" s="92">
        <f>'Consolidated KPI'!G1</f>
        <v>46061</v>
      </c>
      <c r="B37" s="93">
        <f>IF($B$3="All Games",'Consolidated KPI'!G3+'Consolidated KPI'!G7+'Consolidated KPI'!G11+'Consolidated KPI'!G15,IF($B$3="Taival",'Consolidated KPI'!G3,IF($B$3="Colossus",'Consolidated KPI'!G7,IF($B$3="Putania's Purgatory",'Consolidated KPI'!G11,IF($B$3="Fleet Breakers",'Consolidated KPI'!G15,"")))))</f>
        <v>15210</v>
      </c>
      <c r="C37" s="93">
        <f>IF($B$3="All Games",'Consolidated KPI'!G3,"")</f>
        <v>4806</v>
      </c>
      <c r="D37" s="93">
        <f>IF($B$3="All Games",'Consolidated KPI'!G7,"")</f>
        <v>2320</v>
      </c>
      <c r="E37" s="93">
        <f>IF($B$3="All Games",'Consolidated KPI'!G11,"")</f>
        <v>3278</v>
      </c>
      <c r="F37" s="93">
        <f>IF($B$3="All Games",'Consolidated KPI'!G15,"")</f>
        <v>4806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</row>
    <row r="38" spans="1:69" x14ac:dyDescent="0.25">
      <c r="A38" s="92">
        <f>'Consolidated KPI'!H1</f>
        <v>46068</v>
      </c>
      <c r="B38" s="93">
        <f>IF($B$3="All Games",'Consolidated KPI'!H3+'Consolidated KPI'!H7+'Consolidated KPI'!H11+'Consolidated KPI'!H15,IF($B$3="Taival",'Consolidated KPI'!H3,IF($B$3="Colossus",'Consolidated KPI'!H7,IF($B$3="Putania's Purgatory",'Consolidated KPI'!H11,IF($B$3="Fleet Breakers",'Consolidated KPI'!H15,"")))))</f>
        <v>15068</v>
      </c>
      <c r="C38" s="93">
        <f>IF($B$3="All Games",'Consolidated KPI'!H3,"")</f>
        <v>4560</v>
      </c>
      <c r="D38" s="93">
        <f>IF($B$3="All Games",'Consolidated KPI'!H7,"")</f>
        <v>2324</v>
      </c>
      <c r="E38" s="93">
        <f>IF($B$3="All Games",'Consolidated KPI'!H11,"")</f>
        <v>3624</v>
      </c>
      <c r="F38" s="93">
        <f>IF($B$3="All Games",'Consolidated KPI'!H15,"")</f>
        <v>4560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</row>
    <row r="39" spans="1:69" x14ac:dyDescent="0.25">
      <c r="A39" s="92">
        <f>'Consolidated KPI'!I1</f>
        <v>46075</v>
      </c>
      <c r="B39" s="93">
        <f>IF($B$3="All Games",'Consolidated KPI'!I3+'Consolidated KPI'!I7+'Consolidated KPI'!I11+'Consolidated KPI'!I15,IF($B$3="Taival",'Consolidated KPI'!I3,IF($B$3="Colossus",'Consolidated KPI'!I7,IF($B$3="Putania's Purgatory",'Consolidated KPI'!I11,IF($B$3="Fleet Breakers",'Consolidated KPI'!I15,"")))))</f>
        <v>14616</v>
      </c>
      <c r="C39" s="93">
        <f>IF($B$3="All Games",'Consolidated KPI'!I3,"")</f>
        <v>4282</v>
      </c>
      <c r="D39" s="93">
        <f>IF($B$3="All Games",'Consolidated KPI'!I7,"")</f>
        <v>2304</v>
      </c>
      <c r="E39" s="93">
        <f>IF($B$3="All Games",'Consolidated KPI'!I11,"")</f>
        <v>3748</v>
      </c>
      <c r="F39" s="93">
        <f>IF($B$3="All Games",'Consolidated KPI'!I15,"")</f>
        <v>4282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</row>
    <row r="40" spans="1:69" x14ac:dyDescent="0.25">
      <c r="A40" s="92">
        <f>'Consolidated KPI'!J1</f>
        <v>46082</v>
      </c>
      <c r="B40" s="93">
        <f>IF($B$3="All Games",'Consolidated KPI'!J3+'Consolidated KPI'!J7+'Consolidated KPI'!J11+'Consolidated KPI'!J15,IF($B$3="Taival",'Consolidated KPI'!J3,IF($B$3="Colossus",'Consolidated KPI'!J7,IF($B$3="Putania's Purgatory",'Consolidated KPI'!J11,IF($B$3="Fleet Breakers",'Consolidated KPI'!J15,"")))))</f>
        <v>165282</v>
      </c>
      <c r="C40" s="93">
        <f>IF($B$3="All Games",'Consolidated KPI'!J3,"")</f>
        <v>5673</v>
      </c>
      <c r="D40" s="93">
        <f>IF($B$3="All Games",'Consolidated KPI'!J7,"")</f>
        <v>2222</v>
      </c>
      <c r="E40" s="93">
        <f>IF($B$3="All Games",'Consolidated KPI'!J11,"")</f>
        <v>153264</v>
      </c>
      <c r="F40" s="93">
        <f>IF($B$3="All Games",'Consolidated KPI'!J15,"")</f>
        <v>4123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</row>
    <row r="41" spans="1:69" x14ac:dyDescent="0.25">
      <c r="A41" s="92">
        <f>'Consolidated KPI'!K1</f>
        <v>46089</v>
      </c>
      <c r="B41" s="93">
        <f>IF($B$3="All Games",'Consolidated KPI'!K3+'Consolidated KPI'!K7+'Consolidated KPI'!K11+'Consolidated KPI'!K15,IF($B$3="Taival",'Consolidated KPI'!K3,IF($B$3="Colossus",'Consolidated KPI'!K7,IF($B$3="Putania's Purgatory",'Consolidated KPI'!K11,IF($B$3="Fleet Breakers",'Consolidated KPI'!K15,"")))))</f>
        <v>26326</v>
      </c>
      <c r="C41" s="93">
        <f>IF($B$3="All Games",'Consolidated KPI'!K3,"")</f>
        <v>3043</v>
      </c>
      <c r="D41" s="93">
        <f>IF($B$3="All Games",'Consolidated KPI'!K7,"")</f>
        <v>1967</v>
      </c>
      <c r="E41" s="93">
        <f>IF($B$3="All Games",'Consolidated KPI'!K11,"")</f>
        <v>16940</v>
      </c>
      <c r="F41" s="93">
        <f>IF($B$3="All Games",'Consolidated KPI'!K15,"")</f>
        <v>4376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</row>
    <row r="42" spans="1:69" x14ac:dyDescent="0.25">
      <c r="A42" s="92">
        <f>'Consolidated KPI'!L1</f>
        <v>46096</v>
      </c>
      <c r="B42" s="93">
        <f>IF($B$3="All Games",'Consolidated KPI'!L3+'Consolidated KPI'!L7+'Consolidated KPI'!L11+'Consolidated KPI'!L15,IF($B$3="Taival",'Consolidated KPI'!L3,IF($B$3="Colossus",'Consolidated KPI'!L7,IF($B$3="Putania's Purgatory",'Consolidated KPI'!L11,IF($B$3="Fleet Breakers",'Consolidated KPI'!L15,"")))))</f>
        <v>16858</v>
      </c>
      <c r="C42" s="93">
        <f>IF($B$3="All Games",'Consolidated KPI'!L3,"")</f>
        <v>3184</v>
      </c>
      <c r="D42" s="93">
        <f>IF($B$3="All Games",'Consolidated KPI'!L7,"")</f>
        <v>4553</v>
      </c>
      <c r="E42" s="93">
        <f>IF($B$3="All Games",'Consolidated KPI'!L11,"")</f>
        <v>5171</v>
      </c>
      <c r="F42" s="93">
        <f>IF($B$3="All Games",'Consolidated KPI'!L15,"")</f>
        <v>3950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</row>
    <row r="43" spans="1:69" x14ac:dyDescent="0.25">
      <c r="A43" s="92">
        <f>'Consolidated KPI'!M1</f>
        <v>46103</v>
      </c>
      <c r="B43" s="93">
        <f>IF($B$3="All Games",'Consolidated KPI'!M3+'Consolidated KPI'!M7+'Consolidated KPI'!M11+'Consolidated KPI'!M15,IF($B$3="Taival",'Consolidated KPI'!M3,IF($B$3="Colossus",'Consolidated KPI'!M7,IF($B$3="Putania's Purgatory",'Consolidated KPI'!M11,IF($B$3="Fleet Breakers",'Consolidated KPI'!M15,"")))))</f>
        <v>19301</v>
      </c>
      <c r="C43" s="93">
        <f>IF($B$3="All Games",'Consolidated KPI'!M3,"")</f>
        <v>3803</v>
      </c>
      <c r="D43" s="93">
        <f>IF($B$3="All Games",'Consolidated KPI'!M7,"")</f>
        <v>6425</v>
      </c>
      <c r="E43" s="93">
        <f>IF($B$3="All Games",'Consolidated KPI'!M11,"")</f>
        <v>3906</v>
      </c>
      <c r="F43" s="93">
        <f>IF($B$3="All Games",'Consolidated KPI'!M15,"")</f>
        <v>5167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69" x14ac:dyDescent="0.25">
      <c r="A44" s="92">
        <f>'Consolidated KPI'!N1</f>
        <v>46110</v>
      </c>
      <c r="B44" s="93">
        <f>IF($B$3="All Games",'Consolidated KPI'!N3+'Consolidated KPI'!N7+'Consolidated KPI'!N11+'Consolidated KPI'!N15,IF($B$3="Taival",'Consolidated KPI'!N3,IF($B$3="Colossus",'Consolidated KPI'!N7,IF($B$3="Putania's Purgatory",'Consolidated KPI'!N11,IF($B$3="Fleet Breakers",'Consolidated KPI'!N15,"")))))</f>
        <v>16428</v>
      </c>
      <c r="C44" s="93">
        <f>IF($B$3="All Games",'Consolidated KPI'!N3,"")</f>
        <v>3196</v>
      </c>
      <c r="D44" s="93">
        <f>IF($B$3="All Games",'Consolidated KPI'!N7,"")</f>
        <v>5374</v>
      </c>
      <c r="E44" s="93">
        <f>IF($B$3="All Games",'Consolidated KPI'!N11,"")</f>
        <v>3455</v>
      </c>
      <c r="F44" s="93">
        <f>IF($B$3="All Games",'Consolidated KPI'!N15,"")</f>
        <v>4403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69" x14ac:dyDescent="0.25">
      <c r="A45" s="92">
        <f>'Consolidated KPI'!O1</f>
        <v>46117</v>
      </c>
      <c r="B45" s="93">
        <f>IF($B$3="All Games",'Consolidated KPI'!O3+'Consolidated KPI'!O7+'Consolidated KPI'!O11+'Consolidated KPI'!O15,IF($B$3="Taival",'Consolidated KPI'!O3,IF($B$3="Colossus",'Consolidated KPI'!O7,IF($B$3="Putania's Purgatory",'Consolidated KPI'!O11,IF($B$3="Fleet Breakers",'Consolidated KPI'!O15,"")))))</f>
        <v>14344</v>
      </c>
      <c r="C45" s="93">
        <f>IF($B$3="All Games",'Consolidated KPI'!O3,"")</f>
        <v>3697</v>
      </c>
      <c r="D45" s="93">
        <f>IF($B$3="All Games",'Consolidated KPI'!O7,"")</f>
        <v>3631</v>
      </c>
      <c r="E45" s="93">
        <f>IF($B$3="All Games",'Consolidated KPI'!O11,"")</f>
        <v>3364</v>
      </c>
      <c r="F45" s="93">
        <f>IF($B$3="All Games",'Consolidated KPI'!O15,"")</f>
        <v>3652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6" spans="1:69" x14ac:dyDescent="0.25">
      <c r="A46" s="92">
        <f>'Consolidated KPI'!P1</f>
        <v>46124</v>
      </c>
      <c r="B46" s="93">
        <f>IF($B$3="All Games",'Consolidated KPI'!P3+'Consolidated KPI'!P7+'Consolidated KPI'!P11+'Consolidated KPI'!P15,IF($B$3="Taival",'Consolidated KPI'!P3,IF($B$3="Colossus",'Consolidated KPI'!P7,IF($B$3="Putania's Purgatory",'Consolidated KPI'!P11,IF($B$3="Fleet Breakers",'Consolidated KPI'!P15,"")))))</f>
        <v>15511</v>
      </c>
      <c r="C46" s="93">
        <f>IF($B$3="All Games",'Consolidated KPI'!P3,"")</f>
        <v>4970</v>
      </c>
      <c r="D46" s="93">
        <f>IF($B$3="All Games",'Consolidated KPI'!P7,"")</f>
        <v>3253</v>
      </c>
      <c r="E46" s="93">
        <f>IF($B$3="All Games",'Consolidated KPI'!P11,"")</f>
        <v>3463</v>
      </c>
      <c r="F46" s="93">
        <f>IF($B$3="All Games",'Consolidated KPI'!P15,"")</f>
        <v>3825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</row>
    <row r="47" spans="1:69" x14ac:dyDescent="0.25">
      <c r="A47" s="92">
        <f>'Consolidated KPI'!Q1</f>
        <v>46131</v>
      </c>
      <c r="B47" s="93">
        <f>IF($B$3="All Games",'Consolidated KPI'!Q3+'Consolidated KPI'!Q7+'Consolidated KPI'!Q11+'Consolidated KPI'!Q15,IF($B$3="Taival",'Consolidated KPI'!Q3,IF($B$3="Colossus",'Consolidated KPI'!Q7,IF($B$3="Putania's Purgatory",'Consolidated KPI'!Q11,IF($B$3="Fleet Breakers",'Consolidated KPI'!Q15,"")))))</f>
        <v>36934</v>
      </c>
      <c r="C47" s="93">
        <f>IF($B$3="All Games",'Consolidated KPI'!Q3,"")</f>
        <v>14388</v>
      </c>
      <c r="D47" s="93">
        <f>IF($B$3="All Games",'Consolidated KPI'!Q7,"")</f>
        <v>14258</v>
      </c>
      <c r="E47" s="93">
        <f>IF($B$3="All Games",'Consolidated KPI'!Q11,"")</f>
        <v>2997</v>
      </c>
      <c r="F47" s="93">
        <f>IF($B$3="All Games",'Consolidated KPI'!Q15,"")</f>
        <v>5291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ht="22.5" customHeight="1" spans="1:6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49" ht="22.5" customHeight="1" spans="1:6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</row>
    <row r="50" ht="22.5" customHeight="1" spans="1:6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</row>
    <row r="51" ht="22.5" customHeight="1" spans="1:6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</row>
    <row r="52" ht="18.75" customHeight="1" spans="1:69" x14ac:dyDescent="0.25">
      <c r="A52" s="87" t="s">
        <v>116</v>
      </c>
      <c r="B52" s="5"/>
      <c r="C52" s="5"/>
      <c r="D52" s="5"/>
      <c r="E52" s="5"/>
      <c r="F52" s="9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</row>
    <row r="53" spans="1:69" x14ac:dyDescent="0.25">
      <c r="A53" s="99" t="s">
        <v>114</v>
      </c>
      <c r="B53" s="100" t="str">
        <f>IF($B$3="All Games","All Games",$B$3)</f>
        <v>All Games</v>
      </c>
      <c r="C53" s="101" t="str">
        <f>IF($B$3="All Games","Taival","")</f>
        <v>Taival</v>
      </c>
      <c r="D53" s="101" t="str">
        <f>IF($B$3="All Games","Colossus","")</f>
        <v>Colossus</v>
      </c>
      <c r="E53" s="101" t="str">
        <f>IF($B$3="All Games","Putania's Purgatory","")</f>
        <v>Putania's Purgatory</v>
      </c>
      <c r="F53" s="102" t="str">
        <f>IF($B$3="All Games","Fleet Breakers","")</f>
        <v>Fleet Breakers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</row>
    <row r="54" spans="1:69" x14ac:dyDescent="0.25">
      <c r="A54" s="92">
        <f>'Consolidated KPI'!B1</f>
        <v>46026</v>
      </c>
      <c r="B54" s="93">
        <f>IF($B$3="All Games",'Consolidated KPI'!B4+'Consolidated KPI'!B8+'Consolidated KPI'!B12+'Consolidated KPI'!B16,IF($B$3="Taival",'Consolidated KPI'!B4,IF($B$3="Colossus",'Consolidated KPI'!B8,IF($B$3="Putania's Purgatory",'Consolidated KPI'!B12,IF($B$3="Fleet Breakers",'Consolidated KPI'!B16,"")))))</f>
        <v>4151</v>
      </c>
      <c r="C54" s="93">
        <f>IF($B$3="All Games",'Consolidated KPI'!B4,"")</f>
        <v>1107</v>
      </c>
      <c r="D54" s="93">
        <f>IF($B$3="All Games",'Consolidated KPI'!B8,"")</f>
        <v>424</v>
      </c>
      <c r="E54" s="93">
        <f>IF($B$3="All Games",'Consolidated KPI'!B12,"")</f>
        <v>1513</v>
      </c>
      <c r="F54" s="93">
        <f>IF($B$3="All Games",'Consolidated KPI'!B16,"")</f>
        <v>1107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</row>
    <row r="55" spans="1:69" x14ac:dyDescent="0.25">
      <c r="A55" s="92">
        <f>'Consolidated KPI'!C1</f>
        <v>46033</v>
      </c>
      <c r="B55" s="93">
        <f>IF($B$3="All Games",'Consolidated KPI'!C4+'Consolidated KPI'!C8+'Consolidated KPI'!C12+'Consolidated KPI'!C16,IF($B$3="Taival",'Consolidated KPI'!C4,IF($B$3="Colossus",'Consolidated KPI'!C8,IF($B$3="Putania's Purgatory",'Consolidated KPI'!C12,IF($B$3="Fleet Breakers",'Consolidated KPI'!C16,"")))))</f>
        <v>5613</v>
      </c>
      <c r="C55" s="93">
        <f>IF($B$3="All Games",'Consolidated KPI'!C4,"")</f>
        <v>2049</v>
      </c>
      <c r="D55" s="93">
        <f>IF($B$3="All Games",'Consolidated KPI'!C8,"")</f>
        <v>682</v>
      </c>
      <c r="E55" s="93">
        <f>IF($B$3="All Games",'Consolidated KPI'!C12,"")</f>
        <v>833</v>
      </c>
      <c r="F55" s="93">
        <f>IF($B$3="All Games",'Consolidated KPI'!C16,"")</f>
        <v>2049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</row>
    <row r="56" spans="1:69" x14ac:dyDescent="0.25">
      <c r="A56" s="92">
        <f>'Consolidated KPI'!D1</f>
        <v>46040</v>
      </c>
      <c r="B56" s="93">
        <f>IF($B$3="All Games",'Consolidated KPI'!D4+'Consolidated KPI'!D8+'Consolidated KPI'!D12+'Consolidated KPI'!D16,IF($B$3="Taival",'Consolidated KPI'!D4,IF($B$3="Colossus",'Consolidated KPI'!D8,IF($B$3="Putania's Purgatory",'Consolidated KPI'!D12,IF($B$3="Fleet Breakers",'Consolidated KPI'!D16,"")))))</f>
        <v>4648</v>
      </c>
      <c r="C56" s="93">
        <f>IF($B$3="All Games",'Consolidated KPI'!D4,"")</f>
        <v>1631</v>
      </c>
      <c r="D56" s="93">
        <f>IF($B$3="All Games",'Consolidated KPI'!D8,"")</f>
        <v>591</v>
      </c>
      <c r="E56" s="93">
        <f>IF($B$3="All Games",'Consolidated KPI'!D12,"")</f>
        <v>795</v>
      </c>
      <c r="F56" s="93">
        <f>IF($B$3="All Games",'Consolidated KPI'!D16,"")</f>
        <v>1631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</row>
    <row r="57" spans="1:69" x14ac:dyDescent="0.25">
      <c r="A57" s="92">
        <f>'Consolidated KPI'!E1</f>
        <v>46047</v>
      </c>
      <c r="B57" s="93">
        <f>IF($B$3="All Games",'Consolidated KPI'!E4+'Consolidated KPI'!E8+'Consolidated KPI'!E12+'Consolidated KPI'!E16,IF($B$3="Taival",'Consolidated KPI'!E4,IF($B$3="Colossus",'Consolidated KPI'!E8,IF($B$3="Putania's Purgatory",'Consolidated KPI'!E12,IF($B$3="Fleet Breakers",'Consolidated KPI'!E16,"")))))</f>
        <v>3233</v>
      </c>
      <c r="C57" s="93">
        <f>IF($B$3="All Games",'Consolidated KPI'!E4,"")</f>
        <v>889</v>
      </c>
      <c r="D57" s="93">
        <f>IF($B$3="All Games",'Consolidated KPI'!E8,"")</f>
        <v>765</v>
      </c>
      <c r="E57" s="93">
        <f>IF($B$3="All Games",'Consolidated KPI'!E12,"")</f>
        <v>690</v>
      </c>
      <c r="F57" s="93">
        <f>IF($B$3="All Games",'Consolidated KPI'!E16,"")</f>
        <v>889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</row>
    <row r="58" spans="1:69" x14ac:dyDescent="0.25">
      <c r="A58" s="92">
        <f>'Consolidated KPI'!F1</f>
        <v>46054</v>
      </c>
      <c r="B58" s="93">
        <f>IF($B$3="All Games",'Consolidated KPI'!F4+'Consolidated KPI'!F8+'Consolidated KPI'!F12+'Consolidated KPI'!F16,IF($B$3="Taival",'Consolidated KPI'!F4,IF($B$3="Colossus",'Consolidated KPI'!F8,IF($B$3="Putania's Purgatory",'Consolidated KPI'!F12,IF($B$3="Fleet Breakers",'Consolidated KPI'!F16,"")))))</f>
        <v>3515</v>
      </c>
      <c r="C58" s="93">
        <f>IF($B$3="All Games",'Consolidated KPI'!F4,"")</f>
        <v>726</v>
      </c>
      <c r="D58" s="93">
        <f>IF($B$3="All Games",'Consolidated KPI'!F8,"")</f>
        <v>1007</v>
      </c>
      <c r="E58" s="93">
        <f>IF($B$3="All Games",'Consolidated KPI'!F12,"")</f>
        <v>1056</v>
      </c>
      <c r="F58" s="93">
        <f>IF($B$3="All Games",'Consolidated KPI'!F16,"")</f>
        <v>726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</row>
    <row r="59" spans="1:69" x14ac:dyDescent="0.25">
      <c r="A59" s="92">
        <f>'Consolidated KPI'!G1</f>
        <v>46061</v>
      </c>
      <c r="B59" s="93">
        <f>IF($B$3="All Games",'Consolidated KPI'!G4+'Consolidated KPI'!G8+'Consolidated KPI'!G12+'Consolidated KPI'!G16,IF($B$3="Taival",'Consolidated KPI'!G4,IF($B$3="Colossus",'Consolidated KPI'!G8,IF($B$3="Putania's Purgatory",'Consolidated KPI'!G12,IF($B$3="Fleet Breakers",'Consolidated KPI'!G16,"")))))</f>
        <v>3093</v>
      </c>
      <c r="C59" s="93">
        <f>IF($B$3="All Games",'Consolidated KPI'!G4,"")</f>
        <v>705</v>
      </c>
      <c r="D59" s="93">
        <f>IF($B$3="All Games",'Consolidated KPI'!G8,"")</f>
        <v>798</v>
      </c>
      <c r="E59" s="93">
        <f>IF($B$3="All Games",'Consolidated KPI'!G12,"")</f>
        <v>885</v>
      </c>
      <c r="F59" s="93">
        <f>IF($B$3="All Games",'Consolidated KPI'!G16,"")</f>
        <v>705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</row>
    <row r="60" spans="1:69" x14ac:dyDescent="0.25">
      <c r="A60" s="92">
        <f>'Consolidated KPI'!H1</f>
        <v>46068</v>
      </c>
      <c r="B60" s="93">
        <f>IF($B$3="All Games",'Consolidated KPI'!H4+'Consolidated KPI'!H8+'Consolidated KPI'!H12+'Consolidated KPI'!H16,IF($B$3="Taival",'Consolidated KPI'!H4,IF($B$3="Colossus",'Consolidated KPI'!H8,IF($B$3="Putania's Purgatory",'Consolidated KPI'!H12,IF($B$3="Fleet Breakers",'Consolidated KPI'!H16,"")))))</f>
        <v>3576</v>
      </c>
      <c r="C60" s="93">
        <f>IF($B$3="All Games",'Consolidated KPI'!H4,"")</f>
        <v>769</v>
      </c>
      <c r="D60" s="93">
        <f>IF($B$3="All Games",'Consolidated KPI'!H8,"")</f>
        <v>912</v>
      </c>
      <c r="E60" s="93">
        <f>IF($B$3="All Games",'Consolidated KPI'!H12,"")</f>
        <v>1126</v>
      </c>
      <c r="F60" s="93">
        <f>IF($B$3="All Games",'Consolidated KPI'!H16,"")</f>
        <v>769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</row>
    <row r="61" spans="1:69" x14ac:dyDescent="0.25">
      <c r="A61" s="92">
        <f>'Consolidated KPI'!I1</f>
        <v>46075</v>
      </c>
      <c r="B61" s="93">
        <f>IF($B$3="All Games",'Consolidated KPI'!I4+'Consolidated KPI'!I8+'Consolidated KPI'!I12+'Consolidated KPI'!I16,IF($B$3="Taival",'Consolidated KPI'!I4,IF($B$3="Colossus",'Consolidated KPI'!I8,IF($B$3="Putania's Purgatory",'Consolidated KPI'!I12,IF($B$3="Fleet Breakers",'Consolidated KPI'!I16,"")))))</f>
        <v>3146</v>
      </c>
      <c r="C61" s="93">
        <f>IF($B$3="All Games",'Consolidated KPI'!I4,"")</f>
        <v>704</v>
      </c>
      <c r="D61" s="93">
        <f>IF($B$3="All Games",'Consolidated KPI'!I8,"")</f>
        <v>832</v>
      </c>
      <c r="E61" s="93">
        <f>IF($B$3="All Games",'Consolidated KPI'!I12,"")</f>
        <v>906</v>
      </c>
      <c r="F61" s="93">
        <f>IF($B$3="All Games",'Consolidated KPI'!I16,"")</f>
        <v>704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1:69" x14ac:dyDescent="0.25">
      <c r="A62" s="92">
        <f>'Consolidated KPI'!J1</f>
        <v>46082</v>
      </c>
      <c r="B62" s="93">
        <f>IF($B$3="All Games",'Consolidated KPI'!J4+'Consolidated KPI'!J8+'Consolidated KPI'!J12+'Consolidated KPI'!J16,IF($B$3="Taival",'Consolidated KPI'!J4,IF($B$3="Colossus",'Consolidated KPI'!J8,IF($B$3="Putania's Purgatory",'Consolidated KPI'!J12,IF($B$3="Fleet Breakers",'Consolidated KPI'!J16,"")))))</f>
        <v>8015</v>
      </c>
      <c r="C62" s="93">
        <f>IF($B$3="All Games",'Consolidated KPI'!J4,"")</f>
        <v>906</v>
      </c>
      <c r="D62" s="93">
        <f>IF($B$3="All Games",'Consolidated KPI'!J8,"")</f>
        <v>959</v>
      </c>
      <c r="E62" s="93">
        <f>IF($B$3="All Games",'Consolidated KPI'!J12,"")</f>
        <v>5244</v>
      </c>
      <c r="F62" s="93">
        <f>IF($B$3="All Games",'Consolidated KPI'!J16,"")</f>
        <v>906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</row>
    <row r="63" spans="1:69" x14ac:dyDescent="0.25">
      <c r="A63" s="92">
        <f>'Consolidated KPI'!K1</f>
        <v>46089</v>
      </c>
      <c r="B63" s="93">
        <f>IF($B$3="All Games",'Consolidated KPI'!K4+'Consolidated KPI'!K8+'Consolidated KPI'!K12+'Consolidated KPI'!K16,IF($B$3="Taival",'Consolidated KPI'!K4,IF($B$3="Colossus",'Consolidated KPI'!K8,IF($B$3="Putania's Purgatory",'Consolidated KPI'!K12,IF($B$3="Fleet Breakers",'Consolidated KPI'!K16,"")))))</f>
        <v>3902</v>
      </c>
      <c r="C63" s="93">
        <f>IF($B$3="All Games",'Consolidated KPI'!K4,"")</f>
        <v>680</v>
      </c>
      <c r="D63" s="93">
        <f>IF($B$3="All Games",'Consolidated KPI'!K8,"")</f>
        <v>806</v>
      </c>
      <c r="E63" s="93">
        <f>IF($B$3="All Games",'Consolidated KPI'!K12,"")</f>
        <v>1617</v>
      </c>
      <c r="F63" s="93">
        <f>IF($B$3="All Games",'Consolidated KPI'!K16,"")</f>
        <v>799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</row>
    <row r="64" spans="1:69" x14ac:dyDescent="0.25">
      <c r="A64" s="92">
        <f>'Consolidated KPI'!L1</f>
        <v>46096</v>
      </c>
      <c r="B64" s="93">
        <f>IF($B$3="All Games",'Consolidated KPI'!L4+'Consolidated KPI'!L8+'Consolidated KPI'!L12+'Consolidated KPI'!L16,IF($B$3="Taival",'Consolidated KPI'!L4,IF($B$3="Colossus",'Consolidated KPI'!L8,IF($B$3="Putania's Purgatory",'Consolidated KPI'!L12,IF($B$3="Fleet Breakers",'Consolidated KPI'!L16,"")))))</f>
        <v>3183</v>
      </c>
      <c r="C64" s="93">
        <f>IF($B$3="All Games",'Consolidated KPI'!L4,"")</f>
        <v>507</v>
      </c>
      <c r="D64" s="93">
        <f>IF($B$3="All Games",'Consolidated KPI'!L8,"")</f>
        <v>963</v>
      </c>
      <c r="E64" s="93">
        <f>IF($B$3="All Games",'Consolidated KPI'!L12,"")</f>
        <v>1051</v>
      </c>
      <c r="F64" s="93">
        <f>IF($B$3="All Games",'Consolidated KPI'!L16,"")</f>
        <v>662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</row>
    <row r="65" spans="1:69" x14ac:dyDescent="0.25">
      <c r="A65" s="92">
        <f>'Consolidated KPI'!M1</f>
        <v>46103</v>
      </c>
      <c r="B65" s="93">
        <f>IF($B$3="All Games",'Consolidated KPI'!M4+'Consolidated KPI'!M8+'Consolidated KPI'!M12+'Consolidated KPI'!M16,IF($B$3="Taival",'Consolidated KPI'!M4,IF($B$3="Colossus",'Consolidated KPI'!M8,IF($B$3="Putania's Purgatory",'Consolidated KPI'!M12,IF($B$3="Fleet Breakers",'Consolidated KPI'!M16,"")))))</f>
        <v>3713</v>
      </c>
      <c r="C65" s="93">
        <f>IF($B$3="All Games",'Consolidated KPI'!M4,"")</f>
        <v>618</v>
      </c>
      <c r="D65" s="93">
        <f>IF($B$3="All Games",'Consolidated KPI'!M8,"")</f>
        <v>1339</v>
      </c>
      <c r="E65" s="93">
        <f>IF($B$3="All Games",'Consolidated KPI'!M12,"")</f>
        <v>1005</v>
      </c>
      <c r="F65" s="93">
        <f>IF($B$3="All Games",'Consolidated KPI'!M16,"")</f>
        <v>751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1:69" x14ac:dyDescent="0.25">
      <c r="A66" s="92">
        <f>'Consolidated KPI'!N1</f>
        <v>46110</v>
      </c>
      <c r="B66" s="93">
        <f>IF($B$3="All Games",'Consolidated KPI'!N4+'Consolidated KPI'!N8+'Consolidated KPI'!N12+'Consolidated KPI'!N16,IF($B$3="Taival",'Consolidated KPI'!N4,IF($B$3="Colossus",'Consolidated KPI'!N8,IF($B$3="Putania's Purgatory",'Consolidated KPI'!N12,IF($B$3="Fleet Breakers",'Consolidated KPI'!N16,"")))))</f>
        <v>7245</v>
      </c>
      <c r="C66" s="93">
        <f>IF($B$3="All Games",'Consolidated KPI'!N4,"")</f>
        <v>595</v>
      </c>
      <c r="D66" s="93">
        <f>IF($B$3="All Games",'Consolidated KPI'!N8,"")</f>
        <v>1046</v>
      </c>
      <c r="E66" s="93">
        <f>IF($B$3="All Games",'Consolidated KPI'!N12,"")</f>
        <v>4897</v>
      </c>
      <c r="F66" s="93">
        <f>IF($B$3="All Games",'Consolidated KPI'!N16,"")</f>
        <v>707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</row>
    <row r="67" spans="1:69" x14ac:dyDescent="0.25">
      <c r="A67" s="92">
        <f>'Consolidated KPI'!O1</f>
        <v>46117</v>
      </c>
      <c r="B67" s="93">
        <f>IF($B$3="All Games",'Consolidated KPI'!O4+'Consolidated KPI'!O8+'Consolidated KPI'!O12+'Consolidated KPI'!O16,IF($B$3="Taival",'Consolidated KPI'!O4,IF($B$3="Colossus",'Consolidated KPI'!O8,IF($B$3="Putania's Purgatory",'Consolidated KPI'!O12,IF($B$3="Fleet Breakers",'Consolidated KPI'!O16,"")))))</f>
        <v>8728</v>
      </c>
      <c r="C67" s="93">
        <f>IF($B$3="All Games",'Consolidated KPI'!O4,"")</f>
        <v>1276</v>
      </c>
      <c r="D67" s="93">
        <f>IF($B$3="All Games",'Consolidated KPI'!O8,"")</f>
        <v>887</v>
      </c>
      <c r="E67" s="93">
        <f>IF($B$3="All Games",'Consolidated KPI'!O12,"")</f>
        <v>5782</v>
      </c>
      <c r="F67" s="93">
        <f>IF($B$3="All Games",'Consolidated KPI'!O16,"")</f>
        <v>783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</row>
    <row r="68" spans="1:69" x14ac:dyDescent="0.25">
      <c r="A68" s="92">
        <f>'Consolidated KPI'!P1</f>
        <v>46124</v>
      </c>
      <c r="B68" s="93">
        <f>IF($B$3="All Games",'Consolidated KPI'!P4+'Consolidated KPI'!P8+'Consolidated KPI'!P12+'Consolidated KPI'!P16,IF($B$3="Taival",'Consolidated KPI'!P4,IF($B$3="Colossus",'Consolidated KPI'!P8,IF($B$3="Putania's Purgatory",'Consolidated KPI'!P12,IF($B$3="Fleet Breakers",'Consolidated KPI'!P16,"")))))</f>
        <v>11327</v>
      </c>
      <c r="C68" s="93">
        <f>IF($B$3="All Games",'Consolidated KPI'!P4,"")</f>
        <v>2020</v>
      </c>
      <c r="D68" s="93">
        <f>IF($B$3="All Games",'Consolidated KPI'!P8,"")</f>
        <v>839</v>
      </c>
      <c r="E68" s="93">
        <f>IF($B$3="All Games",'Consolidated KPI'!P12,"")</f>
        <v>7678</v>
      </c>
      <c r="F68" s="93">
        <f>IF($B$3="All Games",'Consolidated KPI'!P16,"")</f>
        <v>790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</row>
    <row r="69" spans="1:69" x14ac:dyDescent="0.25">
      <c r="A69" s="92">
        <f>'Consolidated KPI'!Q1</f>
        <v>46131</v>
      </c>
      <c r="B69" s="93">
        <f>IF($B$3="All Games",'Consolidated KPI'!Q4+'Consolidated KPI'!Q8+'Consolidated KPI'!Q12+'Consolidated KPI'!Q16,IF($B$3="Taival",'Consolidated KPI'!Q4,IF($B$3="Colossus",'Consolidated KPI'!Q8,IF($B$3="Putania's Purgatory",'Consolidated KPI'!Q12,IF($B$3="Fleet Breakers",'Consolidated KPI'!Q16,"")))))</f>
        <v>9608</v>
      </c>
      <c r="C69" s="93">
        <f>IF($B$3="All Games",'Consolidated KPI'!Q4,"")</f>
        <v>2147</v>
      </c>
      <c r="D69" s="93">
        <f>IF($B$3="All Games",'Consolidated KPI'!Q8,"")</f>
        <v>1232</v>
      </c>
      <c r="E69" s="93">
        <f>IF($B$3="All Games",'Consolidated KPI'!Q12,"")</f>
        <v>5615</v>
      </c>
      <c r="F69" s="93">
        <f>IF($B$3="All Games",'Consolidated KPI'!Q16,"")</f>
        <v>614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</row>
    <row r="70" spans="1:69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</row>
    <row r="71" spans="1:69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</row>
    <row r="72" spans="1:69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</row>
    <row r="73" spans="1:69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spans="1:6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spans="1:69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spans="1:69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spans="1:69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  <row r="78" spans="1:6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</row>
    <row r="79" spans="1:69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</row>
    <row r="80" spans="1:69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</row>
    <row r="81" spans="1:69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</row>
    <row r="82" spans="1:69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</row>
    <row r="83" spans="1:69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</row>
    <row r="84" spans="1:6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</row>
    <row r="86" spans="1:6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</row>
    <row r="87" spans="1:69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</row>
    <row r="88" spans="1:69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</row>
    <row r="89" spans="1:69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</row>
    <row r="90" spans="1:69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</row>
    <row r="91" spans="1:69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</row>
    <row r="92" spans="1:69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</row>
    <row r="93" spans="1:69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</row>
    <row r="94" spans="1:69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</row>
    <row r="95" spans="1:69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</row>
    <row r="96" spans="1:69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</row>
    <row r="97" spans="1:69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</row>
    <row r="98" spans="1:69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</row>
    <row r="99" spans="1:69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</row>
    <row r="100" spans="1:69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</row>
    <row r="101" spans="1:69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</row>
    <row r="102" spans="1:69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</row>
    <row r="103" spans="1:69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</row>
    <row r="104" spans="1:69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</row>
    <row r="105" spans="1:69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</row>
    <row r="106" spans="1:69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</row>
    <row r="107" spans="1:69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</row>
    <row r="108" spans="1:69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</row>
    <row r="109" spans="1:69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</row>
    <row r="110" spans="1:69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</row>
    <row r="111" spans="1:69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</row>
    <row r="112" spans="1:69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</row>
    <row r="113" spans="1:69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</row>
    <row r="114" spans="1:69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</row>
    <row r="115" spans="1:69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</row>
    <row r="116" spans="1:69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</row>
    <row r="117" spans="1:69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</row>
    <row r="118" spans="1:69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</row>
    <row r="119" spans="1:69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</row>
    <row r="120" spans="1:69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</row>
    <row r="121" spans="1:69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</row>
    <row r="122" spans="1:69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</row>
    <row r="123" spans="1:69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</row>
    <row r="124" spans="1:69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</row>
    <row r="125" spans="1:69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</row>
    <row r="126" spans="1:69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</row>
    <row r="127" spans="9:69" x14ac:dyDescent="0.25"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</row>
    <row r="128" spans="18:69" x14ac:dyDescent="0.25"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</row>
    <row r="129" spans="18:69" x14ac:dyDescent="0.25"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</row>
    <row r="130" spans="18:69" x14ac:dyDescent="0.25"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</row>
    <row r="131" spans="18:69" x14ac:dyDescent="0.25"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</row>
    <row r="132" spans="18:69" x14ac:dyDescent="0.25"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</row>
    <row r="133" spans="18:69" x14ac:dyDescent="0.25"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</row>
    <row r="134" spans="18:69" x14ac:dyDescent="0.25"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</row>
    <row r="135" spans="18:69" x14ac:dyDescent="0.25"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</row>
    <row r="136" spans="18:69" x14ac:dyDescent="0.25"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</row>
    <row r="137" spans="18:69" x14ac:dyDescent="0.25"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</row>
    <row r="138" spans="18:69" x14ac:dyDescent="0.25"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</row>
    <row r="139" spans="18:69" x14ac:dyDescent="0.25"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</row>
    <row r="140" spans="18:69" x14ac:dyDescent="0.25"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</row>
    <row r="141" spans="18:69" x14ac:dyDescent="0.25"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</row>
    <row r="142" spans="18:69" x14ac:dyDescent="0.25"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</row>
    <row r="143" spans="18:69" x14ac:dyDescent="0.25"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</row>
    <row r="144" spans="18:69" x14ac:dyDescent="0.25"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</row>
    <row r="145" spans="18:69" x14ac:dyDescent="0.25"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</row>
    <row r="146" spans="18:69" x14ac:dyDescent="0.25"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</row>
    <row r="147" spans="18:69" x14ac:dyDescent="0.25"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</row>
    <row r="148" spans="18:69" x14ac:dyDescent="0.25"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</row>
    <row r="149" spans="18:69" x14ac:dyDescent="0.25"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</row>
    <row r="150" spans="18:69" x14ac:dyDescent="0.25"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</row>
    <row r="151" spans="18:69" x14ac:dyDescent="0.25"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</row>
    <row r="152" spans="18:69" x14ac:dyDescent="0.25"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</row>
    <row r="153" spans="18:69" x14ac:dyDescent="0.25"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</row>
    <row r="154" spans="18:69" x14ac:dyDescent="0.25"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</row>
    <row r="155" spans="18:69" x14ac:dyDescent="0.25"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</row>
    <row r="156" spans="18:69" x14ac:dyDescent="0.25"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</row>
    <row r="157" spans="18:69" x14ac:dyDescent="0.25"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</row>
    <row r="158" spans="18:69" x14ac:dyDescent="0.25"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</row>
    <row r="159" spans="18:69" x14ac:dyDescent="0.25"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</row>
    <row r="160" spans="18:69" x14ac:dyDescent="0.25"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</row>
    <row r="161" spans="18:69" x14ac:dyDescent="0.25"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</row>
    <row r="162" spans="18:69" x14ac:dyDescent="0.25"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</row>
    <row r="163" spans="18:69" x14ac:dyDescent="0.25"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</row>
    <row r="164" spans="18:69" x14ac:dyDescent="0.25"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</row>
    <row r="165" spans="18:69" x14ac:dyDescent="0.25"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</row>
    <row r="166" spans="18:69" x14ac:dyDescent="0.25"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</row>
    <row r="167" spans="18:69" x14ac:dyDescent="0.25"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</row>
    <row r="168" spans="18:69" x14ac:dyDescent="0.25"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</row>
    <row r="169" spans="18:69" x14ac:dyDescent="0.25"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</row>
    <row r="170" spans="18:69" x14ac:dyDescent="0.25"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</row>
    <row r="171" spans="18:69" x14ac:dyDescent="0.25"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</row>
    <row r="172" spans="18:69" x14ac:dyDescent="0.25"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</row>
    <row r="173" spans="18:69" x14ac:dyDescent="0.25"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</row>
    <row r="174" spans="18:69" x14ac:dyDescent="0.25"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</row>
    <row r="175" spans="18:69" x14ac:dyDescent="0.25"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</row>
    <row r="176" spans="18:69" x14ac:dyDescent="0.25"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</row>
    <row r="177" spans="18:69" x14ac:dyDescent="0.25"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</row>
    <row r="178" spans="18:69" x14ac:dyDescent="0.25"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</row>
    <row r="179" spans="18:69" x14ac:dyDescent="0.25"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</row>
    <row r="180" spans="18:69" x14ac:dyDescent="0.25"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</row>
    <row r="181" spans="18:69" x14ac:dyDescent="0.25"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</row>
    <row r="182" spans="18:69" x14ac:dyDescent="0.25"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</row>
    <row r="183" spans="18:69" x14ac:dyDescent="0.25"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</row>
    <row r="184" spans="18:69" x14ac:dyDescent="0.25"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</row>
    <row r="185" spans="18:69" x14ac:dyDescent="0.25"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</row>
    <row r="186" spans="18:69" x14ac:dyDescent="0.25"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</row>
    <row r="187" spans="18:69" x14ac:dyDescent="0.25"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</row>
    <row r="188" spans="18:69" x14ac:dyDescent="0.25"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</row>
    <row r="189" spans="18:69" x14ac:dyDescent="0.25"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</row>
    <row r="190" spans="18:69" x14ac:dyDescent="0.25"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</row>
    <row r="191" spans="18:69" x14ac:dyDescent="0.25"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</row>
    <row r="192" spans="18:69" x14ac:dyDescent="0.25"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</row>
    <row r="193" spans="18:69" x14ac:dyDescent="0.25"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</row>
    <row r="194" spans="18:69" x14ac:dyDescent="0.25"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</row>
    <row r="195" spans="18:69" x14ac:dyDescent="0.25"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</row>
    <row r="196" spans="18:69" x14ac:dyDescent="0.25"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</row>
    <row r="197" spans="18:69" x14ac:dyDescent="0.25"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</row>
    <row r="198" spans="18:69" x14ac:dyDescent="0.25"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</row>
    <row r="199" spans="18:69" x14ac:dyDescent="0.25"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</row>
    <row r="200" spans="18:69" x14ac:dyDescent="0.25"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</row>
    <row r="201" spans="18:69" x14ac:dyDescent="0.25"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</row>
    <row r="202" spans="18:69" x14ac:dyDescent="0.25"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</row>
    <row r="203" spans="18:69" x14ac:dyDescent="0.25"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</row>
    <row r="204" spans="18:69" x14ac:dyDescent="0.25"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</row>
    <row r="205" spans="18:69" x14ac:dyDescent="0.25"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</row>
    <row r="206" spans="18:69" x14ac:dyDescent="0.25"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</row>
    <row r="207" spans="18:69" x14ac:dyDescent="0.25"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</row>
    <row r="208" spans="18:69" x14ac:dyDescent="0.25"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</row>
    <row r="209" spans="18:69" x14ac:dyDescent="0.25"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</row>
    <row r="210" spans="18:69" x14ac:dyDescent="0.25"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</row>
    <row r="211" spans="18:69" x14ac:dyDescent="0.25"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</row>
    <row r="212" spans="18:69" x14ac:dyDescent="0.25"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</row>
    <row r="213" spans="18:69" x14ac:dyDescent="0.25"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</row>
    <row r="214" spans="18:69" x14ac:dyDescent="0.25"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</row>
    <row r="215" spans="18:69" x14ac:dyDescent="0.25"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</row>
    <row r="216" spans="18:69" x14ac:dyDescent="0.25"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</row>
    <row r="217" spans="18:69" x14ac:dyDescent="0.25"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</row>
    <row r="218" spans="18:69" x14ac:dyDescent="0.25"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</row>
    <row r="219" spans="18:69" x14ac:dyDescent="0.25"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</row>
    <row r="220" spans="18:69" x14ac:dyDescent="0.25"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</row>
    <row r="221" spans="18:69" x14ac:dyDescent="0.25"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</row>
    <row r="222" spans="18:69" x14ac:dyDescent="0.25"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</row>
    <row r="223" spans="18:69" x14ac:dyDescent="0.25"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</row>
    <row r="224" spans="18:69" x14ac:dyDescent="0.25"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</row>
    <row r="225" spans="18:69" x14ac:dyDescent="0.25"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</row>
    <row r="226" spans="18:69" x14ac:dyDescent="0.25"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</row>
    <row r="227" spans="18:69" x14ac:dyDescent="0.25"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</row>
    <row r="228" spans="18:69" x14ac:dyDescent="0.25"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</row>
    <row r="229" spans="18:69" x14ac:dyDescent="0.25"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</row>
    <row r="230" spans="18:69" x14ac:dyDescent="0.25"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</row>
    <row r="231" spans="18:69" x14ac:dyDescent="0.25"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</row>
    <row r="232" spans="18:69" x14ac:dyDescent="0.25"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</row>
    <row r="233" spans="18:69" x14ac:dyDescent="0.25"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</row>
    <row r="234" spans="18:69" x14ac:dyDescent="0.25"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</row>
    <row r="235" spans="18:69" x14ac:dyDescent="0.25"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</row>
    <row r="236" spans="18:69" x14ac:dyDescent="0.25"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</row>
    <row r="237" spans="18:69" x14ac:dyDescent="0.25"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</row>
    <row r="238" spans="18:69" x14ac:dyDescent="0.25"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</row>
    <row r="239" spans="18:69" x14ac:dyDescent="0.25"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</row>
    <row r="240" spans="18:69" x14ac:dyDescent="0.25"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</row>
    <row r="241" spans="18:69" x14ac:dyDescent="0.25"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</row>
    <row r="242" spans="18:69" x14ac:dyDescent="0.25"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</row>
    <row r="243" spans="18:69" x14ac:dyDescent="0.25"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</row>
    <row r="244" spans="18:69" x14ac:dyDescent="0.25"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</row>
    <row r="245" spans="18:69" x14ac:dyDescent="0.25"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</row>
    <row r="246" spans="18:69" x14ac:dyDescent="0.25"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</row>
    <row r="247" spans="18:69" x14ac:dyDescent="0.25"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</row>
    <row r="248" spans="18:69" x14ac:dyDescent="0.25"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</row>
    <row r="249" spans="18:69" x14ac:dyDescent="0.25"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</row>
    <row r="250" spans="18:69" x14ac:dyDescent="0.25"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</row>
    <row r="251" spans="18:69" x14ac:dyDescent="0.25"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</row>
    <row r="252" spans="18:69" x14ac:dyDescent="0.25"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</row>
    <row r="253" spans="18:69" x14ac:dyDescent="0.25"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</row>
    <row r="254" spans="18:69" x14ac:dyDescent="0.25"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</row>
    <row r="255" spans="18:69" x14ac:dyDescent="0.25"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</row>
    <row r="256" spans="18:69" x14ac:dyDescent="0.25"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</row>
    <row r="257" spans="18:69" x14ac:dyDescent="0.25"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</row>
    <row r="258" spans="18:69" x14ac:dyDescent="0.25"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</row>
    <row r="259" spans="18:69" x14ac:dyDescent="0.25"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</row>
    <row r="260" spans="18:69" x14ac:dyDescent="0.25"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</row>
    <row r="261" spans="18:69" x14ac:dyDescent="0.25"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</row>
    <row r="262" spans="18:69" x14ac:dyDescent="0.25"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</row>
    <row r="263" spans="18:69" x14ac:dyDescent="0.25"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</row>
    <row r="264" spans="18:69" x14ac:dyDescent="0.25"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</row>
    <row r="265" spans="18:69" x14ac:dyDescent="0.25"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</row>
    <row r="266" spans="18:69" x14ac:dyDescent="0.25"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</row>
    <row r="267" spans="18:69" x14ac:dyDescent="0.25"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</row>
    <row r="268" spans="18:69" x14ac:dyDescent="0.25"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</row>
    <row r="269" spans="18:69" x14ac:dyDescent="0.25"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</row>
    <row r="270" spans="18:69" x14ac:dyDescent="0.25"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</row>
    <row r="271" spans="18:69" x14ac:dyDescent="0.25"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</row>
    <row r="272" spans="18:69" x14ac:dyDescent="0.25"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</row>
    <row r="273" spans="18:69" x14ac:dyDescent="0.25"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</row>
    <row r="274" spans="18:69" x14ac:dyDescent="0.25"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</row>
    <row r="275" spans="18:69" x14ac:dyDescent="0.25"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</row>
    <row r="276" spans="18:69" x14ac:dyDescent="0.25"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</row>
    <row r="277" spans="18:69" x14ac:dyDescent="0.25"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</row>
    <row r="278" spans="18:69" x14ac:dyDescent="0.25"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</row>
    <row r="279" spans="18:69" x14ac:dyDescent="0.25"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</row>
    <row r="280" spans="18:69" x14ac:dyDescent="0.25"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</row>
    <row r="281" spans="18:69" x14ac:dyDescent="0.25"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</row>
    <row r="282" spans="18:69" x14ac:dyDescent="0.25"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</row>
    <row r="283" spans="18:69" x14ac:dyDescent="0.25"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</row>
  </sheetData>
  <mergeCells count="10">
    <mergeCell ref="A1:J1"/>
    <mergeCell ref="N2:O2"/>
    <mergeCell ref="A5:B5"/>
    <mergeCell ref="C5:D5"/>
    <mergeCell ref="E5:F5"/>
    <mergeCell ref="G5:H5"/>
    <mergeCell ref="A6:B6"/>
    <mergeCell ref="C6:D6"/>
    <mergeCell ref="E6:F6"/>
    <mergeCell ref="G6:H6"/>
  </mergeCells>
  <dataValidations count="1">
    <dataValidation type="list" allowBlank="1" showInputMessage="1" showErrorMessage="1" sqref="B3">
      <formula1>$L$1:$L$5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"/>
  <sheetViews>
    <sheetView workbookViewId="0" zoomScale="100" zoomScaleNormal="100">
      <pane xSplit="1" topLeftCell="F1" activePane="topRight" state="frozen"/>
      <selection pane="topRight" activeCell="J16" sqref="J16"/>
    </sheetView>
  </sheetViews>
  <sheetFormatPr defaultRowHeight="15" outlineLevelRow="0" outlineLevelCol="0" x14ac:dyDescent="0"/>
  <cols>
    <col min="1" max="1" width="34.5703125" customWidth="1"/>
    <col min="2" max="2" width="7.28515625" customWidth="1"/>
    <col min="3" max="3" width="9.140625" customWidth="1"/>
    <col min="4" max="4" width="20.7109375" customWidth="1"/>
    <col min="5" max="5" width="14.85546875" customWidth="1"/>
  </cols>
  <sheetData>
    <row r="1" ht="15.75" customHeight="1" spans="1:53" x14ac:dyDescent="0.25">
      <c r="A1" s="1" t="s">
        <v>0</v>
      </c>
      <c r="B1" s="2">
        <f>DATE(2026,1,4)</f>
        <v>46026</v>
      </c>
      <c r="C1" s="2">
        <f t="shared" ref="C1:AH1" si="0">B1+7</f>
        <v>46033</v>
      </c>
      <c r="D1" s="2">
        <f t="shared" si="0"/>
        <v>46040</v>
      </c>
      <c r="E1" s="2">
        <f t="shared" si="0"/>
        <v>46047</v>
      </c>
      <c r="F1" s="2">
        <f t="shared" si="0"/>
        <v>46054</v>
      </c>
      <c r="G1" s="2">
        <f t="shared" si="0"/>
        <v>46061</v>
      </c>
      <c r="H1" s="2">
        <f t="shared" si="0"/>
        <v>46068</v>
      </c>
      <c r="I1" s="2">
        <f t="shared" si="0"/>
        <v>46075</v>
      </c>
      <c r="J1" s="2">
        <f t="shared" si="0"/>
        <v>46082</v>
      </c>
      <c r="K1" s="2">
        <f t="shared" si="0"/>
        <v>46089</v>
      </c>
      <c r="L1" s="2">
        <f t="shared" si="0"/>
        <v>46096</v>
      </c>
      <c r="M1" s="2">
        <f t="shared" si="0"/>
        <v>46103</v>
      </c>
      <c r="N1" s="2">
        <f t="shared" si="0"/>
        <v>46110</v>
      </c>
      <c r="O1" s="2">
        <f t="shared" si="0"/>
        <v>46117</v>
      </c>
      <c r="P1" s="2">
        <f t="shared" si="0"/>
        <v>46124</v>
      </c>
      <c r="Q1" s="2">
        <f t="shared" si="0"/>
        <v>46131</v>
      </c>
      <c r="R1" s="2">
        <f t="shared" si="0"/>
        <v>46138</v>
      </c>
      <c r="S1" s="2">
        <f t="shared" si="0"/>
        <v>46145</v>
      </c>
      <c r="T1" s="2">
        <f t="shared" si="0"/>
        <v>46152</v>
      </c>
      <c r="U1" s="2">
        <f t="shared" si="0"/>
        <v>46159</v>
      </c>
      <c r="V1" s="2">
        <f t="shared" si="0"/>
        <v>46166</v>
      </c>
      <c r="W1" s="2">
        <f t="shared" si="0"/>
        <v>46173</v>
      </c>
      <c r="X1" s="2">
        <f t="shared" si="0"/>
        <v>46180</v>
      </c>
      <c r="Y1" s="2">
        <f t="shared" si="0"/>
        <v>46187</v>
      </c>
      <c r="Z1" s="2">
        <f t="shared" si="0"/>
        <v>46194</v>
      </c>
      <c r="AA1" s="2">
        <f t="shared" si="0"/>
        <v>46201</v>
      </c>
      <c r="AB1" s="2">
        <f t="shared" si="0"/>
        <v>46208</v>
      </c>
      <c r="AC1" s="2">
        <f t="shared" si="0"/>
        <v>46215</v>
      </c>
      <c r="AD1" s="2">
        <f t="shared" si="0"/>
        <v>46222</v>
      </c>
      <c r="AE1" s="2">
        <f t="shared" si="0"/>
        <v>46229</v>
      </c>
      <c r="AF1" s="2">
        <f t="shared" si="0"/>
        <v>46236</v>
      </c>
      <c r="AG1" s="2">
        <f t="shared" si="0"/>
        <v>46243</v>
      </c>
      <c r="AH1" s="2">
        <f t="shared" si="0"/>
        <v>46250</v>
      </c>
      <c r="AI1" s="2">
        <f t="shared" ref="AI1:BA1" si="1">AH1+7</f>
        <v>46257</v>
      </c>
      <c r="AJ1" s="2">
        <f t="shared" si="1"/>
        <v>46264</v>
      </c>
      <c r="AK1" s="2">
        <f t="shared" si="1"/>
        <v>46271</v>
      </c>
      <c r="AL1" s="2">
        <f t="shared" si="1"/>
        <v>46278</v>
      </c>
      <c r="AM1" s="2">
        <f t="shared" si="1"/>
        <v>46285</v>
      </c>
      <c r="AN1" s="2">
        <f t="shared" si="1"/>
        <v>46292</v>
      </c>
      <c r="AO1" s="2">
        <f t="shared" si="1"/>
        <v>46299</v>
      </c>
      <c r="AP1" s="2">
        <f t="shared" si="1"/>
        <v>46306</v>
      </c>
      <c r="AQ1" s="2">
        <f t="shared" si="1"/>
        <v>46313</v>
      </c>
      <c r="AR1" s="2">
        <f t="shared" si="1"/>
        <v>46320</v>
      </c>
      <c r="AS1" s="2">
        <f t="shared" si="1"/>
        <v>46327</v>
      </c>
      <c r="AT1" s="2">
        <f t="shared" si="1"/>
        <v>46334</v>
      </c>
      <c r="AU1" s="2">
        <f t="shared" si="1"/>
        <v>46341</v>
      </c>
      <c r="AV1" s="2">
        <f t="shared" si="1"/>
        <v>46348</v>
      </c>
      <c r="AW1" s="2">
        <f t="shared" si="1"/>
        <v>46355</v>
      </c>
      <c r="AX1" s="2">
        <f t="shared" si="1"/>
        <v>46362</v>
      </c>
      <c r="AY1" s="2">
        <f t="shared" si="1"/>
        <v>46369</v>
      </c>
      <c r="AZ1" s="2">
        <f t="shared" si="1"/>
        <v>46376</v>
      </c>
      <c r="BA1" s="2">
        <f t="shared" si="1"/>
        <v>46383</v>
      </c>
    </row>
    <row r="2" ht="15.75" customHeight="1" spans="1:53" x14ac:dyDescent="0.25">
      <c r="A2" s="3" t="s">
        <v>1</v>
      </c>
      <c r="B2" s="4">
        <f>'KPI by Quarter'!B3</f>
        <v>4</v>
      </c>
      <c r="C2" s="4">
        <f>'KPI by Quarter'!C3</f>
        <v>2</v>
      </c>
      <c r="D2" s="4">
        <f>'KPI by Quarter'!D3</f>
        <v>16</v>
      </c>
      <c r="E2" s="4">
        <f>'KPI by Quarter'!E3</f>
        <v>0</v>
      </c>
      <c r="F2" s="4">
        <f>'KPI by Quarter'!F3</f>
        <v>-2</v>
      </c>
      <c r="G2" s="4">
        <f>'KPI by Quarter'!G3</f>
        <v>-6</v>
      </c>
      <c r="H2" s="4">
        <f>'KPI by Quarter'!H3</f>
        <v>4</v>
      </c>
      <c r="I2" s="4">
        <f>'KPI by Quarter'!I3</f>
        <v>26</v>
      </c>
      <c r="J2" s="4">
        <f>'KPI by Quarter'!J3</f>
        <v>3</v>
      </c>
      <c r="K2" s="4">
        <f>'KPI by Quarter'!K3</f>
        <v>7</v>
      </c>
      <c r="L2" s="4">
        <f>'KPI by Quarter'!L3</f>
        <v>11</v>
      </c>
      <c r="M2" s="4">
        <f>'KPI by Quarter'!M3</f>
        <v>22</v>
      </c>
      <c r="N2" s="4">
        <f>'KPI by Quarter'!N3</f>
        <v>27</v>
      </c>
      <c r="O2" s="4">
        <f>'KPI by Quarter'!B20</f>
        <v>249</v>
      </c>
      <c r="P2" s="4">
        <f>'KPI by Quarter'!C20</f>
        <v>363</v>
      </c>
      <c r="Q2" s="4">
        <f>'KPI by Quarter'!D20</f>
        <v>668</v>
      </c>
      <c r="R2" s="4">
        <f>'KPI by Quarter'!E20</f>
        <v>3186</v>
      </c>
      <c r="S2" s="4">
        <f>'KPI by Quarter'!F20</f>
        <v>827</v>
      </c>
      <c r="T2" s="4">
        <f>'KPI by Quarter'!G20</f>
        <v>0</v>
      </c>
      <c r="U2" s="4">
        <f>'KPI by Quarter'!H20</f>
        <v>0</v>
      </c>
      <c r="V2" s="4">
        <f>'KPI by Quarter'!I20</f>
        <v>0</v>
      </c>
      <c r="W2" s="4">
        <f>'KPI by Quarter'!J20</f>
        <v>0</v>
      </c>
      <c r="X2" s="4">
        <f>'KPI by Quarter'!K20</f>
        <v>0</v>
      </c>
      <c r="Y2" s="4">
        <f>'KPI by Quarter'!L20</f>
        <v>0</v>
      </c>
      <c r="Z2" s="4">
        <f>'KPI by Quarter'!M20</f>
        <v>0</v>
      </c>
      <c r="AA2" s="4">
        <f>'KPI by Quarter'!N20</f>
        <v>0</v>
      </c>
      <c r="AB2" s="4">
        <f>'KPI by Quarter'!B37</f>
        <v>0</v>
      </c>
      <c r="AC2" s="4">
        <f>'KPI by Quarter'!C37</f>
        <v>0</v>
      </c>
      <c r="AD2" s="4">
        <f>'KPI by Quarter'!D37</f>
        <v>0</v>
      </c>
      <c r="AE2" s="4">
        <f>'KPI by Quarter'!E37</f>
        <v>0</v>
      </c>
      <c r="AF2" s="4">
        <f>'KPI by Quarter'!F37</f>
        <v>0</v>
      </c>
      <c r="AG2" s="4">
        <f>'KPI by Quarter'!G37</f>
        <v>0</v>
      </c>
      <c r="AH2" s="4">
        <f>'KPI by Quarter'!H37</f>
        <v>0</v>
      </c>
      <c r="AI2" s="4">
        <f>'KPI by Quarter'!I37</f>
        <v>0</v>
      </c>
      <c r="AJ2" s="4">
        <f>'KPI by Quarter'!J37</f>
        <v>0</v>
      </c>
      <c r="AK2" s="4">
        <f>'KPI by Quarter'!K37</f>
        <v>0</v>
      </c>
      <c r="AL2" s="4">
        <f>'KPI by Quarter'!L37</f>
        <v>0</v>
      </c>
      <c r="AM2" s="4">
        <f>'KPI by Quarter'!M37</f>
        <v>0</v>
      </c>
      <c r="AN2" s="4">
        <f>'KPI by Quarter'!N37</f>
        <v>0</v>
      </c>
      <c r="AO2" s="4">
        <f>'KPI by Quarter'!B54</f>
        <v>0</v>
      </c>
      <c r="AP2" s="4">
        <f>'KPI by Quarter'!C54</f>
        <v>0</v>
      </c>
      <c r="AQ2" s="4">
        <f>'KPI by Quarter'!D54</f>
        <v>0</v>
      </c>
      <c r="AR2" s="4">
        <f>'KPI by Quarter'!E54</f>
        <v>0</v>
      </c>
      <c r="AS2" s="4">
        <f>'KPI by Quarter'!F54</f>
        <v>0</v>
      </c>
      <c r="AT2" s="4">
        <f>'KPI by Quarter'!G54</f>
        <v>0</v>
      </c>
      <c r="AU2" s="4">
        <f>'KPI by Quarter'!H54</f>
        <v>0</v>
      </c>
      <c r="AV2" s="4">
        <f>'KPI by Quarter'!I54</f>
        <v>0</v>
      </c>
      <c r="AW2" s="4">
        <f>'KPI by Quarter'!J54</f>
        <v>0</v>
      </c>
      <c r="AX2" s="4">
        <f>'KPI by Quarter'!K54</f>
        <v>0</v>
      </c>
      <c r="AY2" s="4">
        <f>'KPI by Quarter'!L54</f>
        <v>0</v>
      </c>
      <c r="AZ2" s="4">
        <f>'KPI by Quarter'!M54</f>
        <v>0</v>
      </c>
      <c r="BA2" s="4">
        <f>'KPI by Quarter'!N54</f>
        <v>0</v>
      </c>
    </row>
    <row r="3" ht="15.75" customHeight="1" spans="1:53" x14ac:dyDescent="0.25">
      <c r="A3" s="3" t="s">
        <v>2</v>
      </c>
      <c r="B3" s="4">
        <f>'KPI by Quarter'!B4</f>
        <v>5095</v>
      </c>
      <c r="C3" s="4">
        <f>'KPI by Quarter'!C4</f>
        <v>6399</v>
      </c>
      <c r="D3" s="4">
        <f>'KPI by Quarter'!D4</f>
        <v>5490</v>
      </c>
      <c r="E3" s="4">
        <f>'KPI by Quarter'!E4</f>
        <v>5392</v>
      </c>
      <c r="F3" s="4">
        <f>'KPI by Quarter'!F4</f>
        <v>5225</v>
      </c>
      <c r="G3" s="4">
        <f>'KPI by Quarter'!G4</f>
        <v>4806</v>
      </c>
      <c r="H3" s="4">
        <f>'KPI by Quarter'!H4</f>
        <v>4560</v>
      </c>
      <c r="I3" s="4">
        <f>'KPI by Quarter'!I4</f>
        <v>4282</v>
      </c>
      <c r="J3" s="4">
        <f>'KPI by Quarter'!J4</f>
        <v>5673</v>
      </c>
      <c r="K3" s="4">
        <f>'KPI by Quarter'!K4</f>
        <v>3043</v>
      </c>
      <c r="L3" s="4">
        <f>'KPI by Quarter'!L4</f>
        <v>3184</v>
      </c>
      <c r="M3" s="4">
        <f>'KPI by Quarter'!M4</f>
        <v>3803</v>
      </c>
      <c r="N3" s="4">
        <f>'KPI by Quarter'!N4</f>
        <v>3196</v>
      </c>
      <c r="O3" s="4">
        <f>'KPI by Quarter'!B21</f>
        <v>3697</v>
      </c>
      <c r="P3" s="4">
        <f>'KPI by Quarter'!C21</f>
        <v>4970</v>
      </c>
      <c r="Q3" s="4">
        <f>'KPI by Quarter'!D21</f>
        <v>14388</v>
      </c>
      <c r="R3" s="4">
        <f>'KPI by Quarter'!E21</f>
        <v>16730</v>
      </c>
      <c r="S3" s="4">
        <f>'KPI by Quarter'!F21</f>
        <v>14879</v>
      </c>
      <c r="T3" s="4">
        <f>'KPI by Quarter'!G21</f>
        <v>0</v>
      </c>
      <c r="U3" s="4">
        <f>'KPI by Quarter'!H21</f>
        <v>0</v>
      </c>
      <c r="V3" s="4">
        <f>'KPI by Quarter'!I21</f>
        <v>0</v>
      </c>
      <c r="W3" s="4">
        <f>'KPI by Quarter'!J21</f>
        <v>0</v>
      </c>
      <c r="X3" s="4">
        <f>'KPI by Quarter'!K21</f>
        <v>0</v>
      </c>
      <c r="Y3" s="4">
        <f>'KPI by Quarter'!L21</f>
        <v>0</v>
      </c>
      <c r="Z3" s="4">
        <f>'KPI by Quarter'!M21</f>
        <v>0</v>
      </c>
      <c r="AA3" s="4">
        <f>'KPI by Quarter'!N21</f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ht="15.75" customHeight="1" spans="1:53" x14ac:dyDescent="0.25">
      <c r="A4" s="3" t="s">
        <v>3</v>
      </c>
      <c r="B4" s="4">
        <f>'KPI by Quarter'!B5</f>
        <v>1107</v>
      </c>
      <c r="C4" s="4">
        <f>'KPI by Quarter'!C5</f>
        <v>2049</v>
      </c>
      <c r="D4" s="4">
        <f>'KPI by Quarter'!D5</f>
        <v>1631</v>
      </c>
      <c r="E4" s="4">
        <f>'KPI by Quarter'!E5</f>
        <v>889</v>
      </c>
      <c r="F4" s="4">
        <f>'KPI by Quarter'!F5</f>
        <v>726</v>
      </c>
      <c r="G4" s="4">
        <f>'KPI by Quarter'!G5</f>
        <v>705</v>
      </c>
      <c r="H4" s="4">
        <f>'KPI by Quarter'!H5</f>
        <v>769</v>
      </c>
      <c r="I4" s="4">
        <f>'KPI by Quarter'!I5</f>
        <v>704</v>
      </c>
      <c r="J4" s="4">
        <f>'KPI by Quarter'!J5</f>
        <v>906</v>
      </c>
      <c r="K4" s="4">
        <f>'KPI by Quarter'!K5</f>
        <v>680</v>
      </c>
      <c r="L4" s="4">
        <f>'KPI by Quarter'!L5</f>
        <v>507</v>
      </c>
      <c r="M4" s="4">
        <f>'KPI by Quarter'!M5</f>
        <v>618</v>
      </c>
      <c r="N4" s="4">
        <f>'KPI by Quarter'!N5</f>
        <v>595</v>
      </c>
      <c r="O4" s="4">
        <f>'KPI by Quarter'!B22</f>
        <v>1276</v>
      </c>
      <c r="P4" s="4">
        <f>'KPI by Quarter'!C22</f>
        <v>2020</v>
      </c>
      <c r="Q4" s="4">
        <f>'KPI by Quarter'!D22</f>
        <v>2147</v>
      </c>
      <c r="R4" s="4">
        <f>'KPI by Quarter'!E22</f>
        <v>14587</v>
      </c>
      <c r="S4" s="4">
        <f>'KPI by Quarter'!F22</f>
        <v>6087</v>
      </c>
      <c r="T4" s="4">
        <f>'KPI by Quarter'!G22</f>
        <v>0</v>
      </c>
      <c r="U4" s="4">
        <f>'KPI by Quarter'!H22</f>
        <v>0</v>
      </c>
      <c r="V4" s="4">
        <f>'KPI by Quarter'!I22</f>
        <v>0</v>
      </c>
      <c r="W4" s="4">
        <f>'KPI by Quarter'!J22</f>
        <v>0</v>
      </c>
      <c r="X4" s="4">
        <f>'KPI by Quarter'!K22</f>
        <v>0</v>
      </c>
      <c r="Y4" s="4">
        <f>'KPI by Quarter'!L22</f>
        <v>0</v>
      </c>
      <c r="Z4" s="4">
        <f>'KPI by Quarter'!M22</f>
        <v>0</v>
      </c>
      <c r="AA4" s="4">
        <f>'KPI by Quarter'!N22</f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</row>
    <row r="5" ht="15.75" customHeight="1" spans="1:53" s="5" customForma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ht="15.75" customHeight="1" spans="1:53" x14ac:dyDescent="0.25">
      <c r="A6" s="8" t="s">
        <v>4</v>
      </c>
      <c r="B6" s="9">
        <f>'KPI by Quarter'!B7</f>
        <v>22</v>
      </c>
      <c r="C6" s="9">
        <f>'KPI by Quarter'!C7</f>
        <v>22</v>
      </c>
      <c r="D6" s="9">
        <f>'KPI by Quarter'!D7</f>
        <v>23</v>
      </c>
      <c r="E6" s="9">
        <f>'KPI by Quarter'!E7</f>
        <v>20</v>
      </c>
      <c r="F6" s="9">
        <f>'KPI by Quarter'!F7</f>
        <v>286</v>
      </c>
      <c r="G6" s="9">
        <f>'KPI by Quarter'!G7</f>
        <v>90</v>
      </c>
      <c r="H6" s="9">
        <f>'KPI by Quarter'!H7</f>
        <v>132</v>
      </c>
      <c r="I6" s="9">
        <f>'KPI by Quarter'!I7</f>
        <v>54</v>
      </c>
      <c r="J6" s="9">
        <f>'KPI by Quarter'!J7</f>
        <v>89</v>
      </c>
      <c r="K6" s="9">
        <f>'KPI by Quarter'!K7</f>
        <v>69</v>
      </c>
      <c r="L6" s="9">
        <f>'KPI by Quarter'!L7</f>
        <v>95</v>
      </c>
      <c r="M6" s="9">
        <f>'KPI by Quarter'!M7</f>
        <v>218</v>
      </c>
      <c r="N6" s="9">
        <f>'KPI by Quarter'!N7</f>
        <v>106</v>
      </c>
      <c r="O6" s="9">
        <f>'KPI by Quarter'!B24</f>
        <v>83</v>
      </c>
      <c r="P6" s="9">
        <f>'KPI by Quarter'!C24</f>
        <v>92</v>
      </c>
      <c r="Q6" s="9">
        <f>'KPI by Quarter'!D24</f>
        <v>295</v>
      </c>
      <c r="R6" s="9">
        <f>'KPI by Quarter'!E24</f>
        <v>514</v>
      </c>
      <c r="S6" s="9">
        <f>'KPI by Quarter'!F24</f>
        <v>272</v>
      </c>
      <c r="T6" s="9">
        <f>'KPI by Quarter'!G24</f>
        <v>0</v>
      </c>
      <c r="U6" s="9">
        <f>'KPI by Quarter'!H24</f>
        <v>0</v>
      </c>
      <c r="V6" s="9">
        <f>'KPI by Quarter'!I24</f>
        <v>0</v>
      </c>
      <c r="W6" s="9">
        <f>'KPI by Quarter'!J24</f>
        <v>0</v>
      </c>
      <c r="X6" s="9">
        <f>'KPI by Quarter'!K24</f>
        <v>0</v>
      </c>
      <c r="Y6" s="9">
        <f>'KPI by Quarter'!L24</f>
        <v>0</v>
      </c>
      <c r="Z6" s="9">
        <f>'KPI by Quarter'!M24</f>
        <v>0</v>
      </c>
      <c r="AA6" s="9">
        <f>'KPI by Quarter'!N24</f>
        <v>0</v>
      </c>
      <c r="AB6" s="9">
        <f>'KPI by Quarter'!B41</f>
        <v>0</v>
      </c>
      <c r="AC6" s="9">
        <f>'KPI by Quarter'!C41</f>
        <v>0</v>
      </c>
      <c r="AD6" s="9">
        <f>'KPI by Quarter'!D41</f>
        <v>0</v>
      </c>
      <c r="AE6" s="9">
        <f>'KPI by Quarter'!E41</f>
        <v>0</v>
      </c>
      <c r="AF6" s="9">
        <f>'KPI by Quarter'!F41</f>
        <v>0</v>
      </c>
      <c r="AG6" s="9">
        <f>'KPI by Quarter'!G41</f>
        <v>0</v>
      </c>
      <c r="AH6" s="9">
        <f>'KPI by Quarter'!H41</f>
        <v>0</v>
      </c>
      <c r="AI6" s="9">
        <f>'KPI by Quarter'!I41</f>
        <v>0</v>
      </c>
      <c r="AJ6" s="9">
        <f>'KPI by Quarter'!J41</f>
        <v>0</v>
      </c>
      <c r="AK6" s="9">
        <f>'KPI by Quarter'!K41</f>
        <v>0</v>
      </c>
      <c r="AL6" s="9">
        <f>'KPI by Quarter'!L41</f>
        <v>0</v>
      </c>
      <c r="AM6" s="9">
        <f>'KPI by Quarter'!M41</f>
        <v>0</v>
      </c>
      <c r="AN6" s="9">
        <f>'KPI by Quarter'!N41</f>
        <v>0</v>
      </c>
      <c r="AO6" s="9">
        <f>'KPI by Quarter'!B58</f>
        <v>0</v>
      </c>
      <c r="AP6" s="9">
        <f>'KPI by Quarter'!C58</f>
        <v>0</v>
      </c>
      <c r="AQ6" s="9">
        <f>'KPI by Quarter'!D58</f>
        <v>0</v>
      </c>
      <c r="AR6" s="9">
        <f>'KPI by Quarter'!E58</f>
        <v>0</v>
      </c>
      <c r="AS6" s="9">
        <f>'KPI by Quarter'!F58</f>
        <v>0</v>
      </c>
      <c r="AT6" s="9">
        <f>'KPI by Quarter'!G58</f>
        <v>0</v>
      </c>
      <c r="AU6" s="9">
        <f>'KPI by Quarter'!H58</f>
        <v>0</v>
      </c>
      <c r="AV6" s="9">
        <f>'KPI by Quarter'!I58</f>
        <v>0</v>
      </c>
      <c r="AW6" s="9">
        <f>'KPI by Quarter'!J58</f>
        <v>0</v>
      </c>
      <c r="AX6" s="9">
        <f>'KPI by Quarter'!K58</f>
        <v>0</v>
      </c>
      <c r="AY6" s="9">
        <f>'KPI by Quarter'!L58</f>
        <v>0</v>
      </c>
      <c r="AZ6" s="9">
        <f>'KPI by Quarter'!M58</f>
        <v>0</v>
      </c>
      <c r="BA6" s="9">
        <f>'KPI by Quarter'!N58</f>
        <v>0</v>
      </c>
    </row>
    <row r="7" ht="15.75" customHeight="1" spans="1:53" x14ac:dyDescent="0.25">
      <c r="A7" s="8" t="s">
        <v>5</v>
      </c>
      <c r="B7" s="9">
        <f>'KPI by Quarter'!B8</f>
        <v>1568</v>
      </c>
      <c r="C7" s="9">
        <f>'KPI by Quarter'!C8</f>
        <v>1879</v>
      </c>
      <c r="D7" s="9">
        <f>'KPI by Quarter'!D8</f>
        <v>2210</v>
      </c>
      <c r="E7" s="9">
        <f>'KPI by Quarter'!E8</f>
        <v>2066</v>
      </c>
      <c r="F7" s="9">
        <f>'KPI by Quarter'!F8</f>
        <v>3259</v>
      </c>
      <c r="G7" s="9">
        <f>'KPI by Quarter'!G8</f>
        <v>2320</v>
      </c>
      <c r="H7" s="9">
        <f>'KPI by Quarter'!H8</f>
        <v>2324</v>
      </c>
      <c r="I7" s="9">
        <f>'KPI by Quarter'!I8</f>
        <v>2304</v>
      </c>
      <c r="J7" s="9">
        <f>'KPI by Quarter'!J8</f>
        <v>2222</v>
      </c>
      <c r="K7" s="9">
        <f>'KPI by Quarter'!K8</f>
        <v>1967</v>
      </c>
      <c r="L7" s="9">
        <f>'KPI by Quarter'!L8</f>
        <v>4553</v>
      </c>
      <c r="M7" s="9">
        <f>'KPI by Quarter'!M8</f>
        <v>6425</v>
      </c>
      <c r="N7" s="9">
        <f>'KPI by Quarter'!N8</f>
        <v>5374</v>
      </c>
      <c r="O7" s="9">
        <f>'KPI by Quarter'!B25</f>
        <v>3631</v>
      </c>
      <c r="P7" s="9">
        <f>'KPI by Quarter'!C25</f>
        <v>3253</v>
      </c>
      <c r="Q7" s="9">
        <f>'KPI by Quarter'!D25</f>
        <v>14258</v>
      </c>
      <c r="R7" s="9">
        <f>'KPI by Quarter'!E25</f>
        <v>6946</v>
      </c>
      <c r="S7" s="9">
        <f>'KPI by Quarter'!F25</f>
        <v>7164</v>
      </c>
      <c r="T7" s="9">
        <f>'KPI by Quarter'!G25</f>
        <v>0</v>
      </c>
      <c r="U7" s="9">
        <f>'KPI by Quarter'!H25</f>
        <v>0</v>
      </c>
      <c r="V7" s="9">
        <f>'KPI by Quarter'!I25</f>
        <v>0</v>
      </c>
      <c r="W7" s="9">
        <f>'KPI by Quarter'!J25</f>
        <v>0</v>
      </c>
      <c r="X7" s="9">
        <f>'KPI by Quarter'!K25</f>
        <v>0</v>
      </c>
      <c r="Y7" s="9">
        <f>'KPI by Quarter'!L25</f>
        <v>0</v>
      </c>
      <c r="Z7" s="9">
        <f>'KPI by Quarter'!M25</f>
        <v>0</v>
      </c>
      <c r="AA7" s="9">
        <f>'KPI by Quarter'!N25</f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</row>
    <row r="8" ht="15.75" customHeight="1" spans="1:53" x14ac:dyDescent="0.25">
      <c r="A8" s="8" t="s">
        <v>6</v>
      </c>
      <c r="B8" s="9">
        <f>'KPI by Quarter'!B9</f>
        <v>424</v>
      </c>
      <c r="C8" s="9">
        <f>'KPI by Quarter'!C9</f>
        <v>682</v>
      </c>
      <c r="D8" s="9">
        <f>'KPI by Quarter'!D9</f>
        <v>591</v>
      </c>
      <c r="E8" s="9">
        <f>'KPI by Quarter'!E9</f>
        <v>765</v>
      </c>
      <c r="F8" s="9">
        <f>'KPI by Quarter'!F9</f>
        <v>1007</v>
      </c>
      <c r="G8" s="9">
        <f>'KPI by Quarter'!G9</f>
        <v>798</v>
      </c>
      <c r="H8" s="9">
        <f>'KPI by Quarter'!H9</f>
        <v>912</v>
      </c>
      <c r="I8" s="9">
        <f>'KPI by Quarter'!I9</f>
        <v>832</v>
      </c>
      <c r="J8" s="9">
        <f>'KPI by Quarter'!J9</f>
        <v>959</v>
      </c>
      <c r="K8" s="9">
        <f>'KPI by Quarter'!K9</f>
        <v>806</v>
      </c>
      <c r="L8" s="9">
        <f>'KPI by Quarter'!L9</f>
        <v>963</v>
      </c>
      <c r="M8" s="9">
        <f>'KPI by Quarter'!M9</f>
        <v>1339</v>
      </c>
      <c r="N8" s="9">
        <f>'KPI by Quarter'!N9</f>
        <v>1046</v>
      </c>
      <c r="O8" s="9">
        <f>'KPI by Quarter'!B26</f>
        <v>887</v>
      </c>
      <c r="P8" s="9">
        <f>'KPI by Quarter'!C26</f>
        <v>839</v>
      </c>
      <c r="Q8" s="9">
        <f>'KPI by Quarter'!D26</f>
        <v>1232</v>
      </c>
      <c r="R8" s="9">
        <f>'KPI by Quarter'!E26</f>
        <v>1542</v>
      </c>
      <c r="S8" s="9">
        <f>'KPI by Quarter'!F26</f>
        <v>1502</v>
      </c>
      <c r="T8" s="9">
        <f>'KPI by Quarter'!G26</f>
        <v>0</v>
      </c>
      <c r="U8" s="9">
        <f>'KPI by Quarter'!H26</f>
        <v>0</v>
      </c>
      <c r="V8" s="9">
        <f>'KPI by Quarter'!I26</f>
        <v>0</v>
      </c>
      <c r="W8" s="9">
        <f>'KPI by Quarter'!J26</f>
        <v>0</v>
      </c>
      <c r="X8" s="9">
        <f>'KPI by Quarter'!K26</f>
        <v>0</v>
      </c>
      <c r="Y8" s="9">
        <f>'KPI by Quarter'!L26</f>
        <v>0</v>
      </c>
      <c r="Z8" s="9">
        <f>'KPI by Quarter'!M26</f>
        <v>0</v>
      </c>
      <c r="AA8" s="9">
        <f>'KPI by Quarter'!N26</f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</row>
    <row r="9" ht="15.75" customHeight="1" spans="1:53" s="5" customForma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ht="15.75" customHeight="1" spans="1:53" x14ac:dyDescent="0.25">
      <c r="A10" s="10" t="s">
        <v>7</v>
      </c>
      <c r="B10" s="11">
        <f>'KPI by Quarter'!B11</f>
        <v>155</v>
      </c>
      <c r="C10" s="11">
        <f>'KPI by Quarter'!C11</f>
        <v>36</v>
      </c>
      <c r="D10" s="11">
        <f>'KPI by Quarter'!D11</f>
        <v>16</v>
      </c>
      <c r="E10" s="11">
        <f>'KPI by Quarter'!E11</f>
        <v>12</v>
      </c>
      <c r="F10" s="11">
        <f>'KPI by Quarter'!F11</f>
        <v>23</v>
      </c>
      <c r="G10" s="11">
        <f>'KPI by Quarter'!G11</f>
        <v>30</v>
      </c>
      <c r="H10" s="11">
        <f>'KPI by Quarter'!H11</f>
        <v>29</v>
      </c>
      <c r="I10" s="11">
        <f>'KPI by Quarter'!I11</f>
        <v>76</v>
      </c>
      <c r="J10" s="11">
        <f>'KPI by Quarter'!J11</f>
        <v>959</v>
      </c>
      <c r="K10" s="11">
        <f>'KPI by Quarter'!K11</f>
        <v>37</v>
      </c>
      <c r="L10" s="11">
        <f>'KPI by Quarter'!L11</f>
        <v>24</v>
      </c>
      <c r="M10" s="11">
        <f>'KPI by Quarter'!M11</f>
        <v>11</v>
      </c>
      <c r="N10" s="11">
        <f>'KPI by Quarter'!N11</f>
        <v>17</v>
      </c>
      <c r="O10" s="11">
        <f>'KPI by Quarter'!B28</f>
        <v>41</v>
      </c>
      <c r="P10" s="11">
        <f>'KPI by Quarter'!C28</f>
        <v>35</v>
      </c>
      <c r="Q10" s="11">
        <f>'KPI by Quarter'!D28</f>
        <v>28</v>
      </c>
      <c r="R10" s="11">
        <f>'KPI by Quarter'!E28</f>
        <v>26</v>
      </c>
      <c r="S10" s="11">
        <f>'KPI by Quarter'!F28</f>
        <v>14</v>
      </c>
      <c r="T10" s="11">
        <f>'KPI by Quarter'!G28</f>
        <v>0</v>
      </c>
      <c r="U10" s="11">
        <f>'KPI by Quarter'!H28</f>
        <v>0</v>
      </c>
      <c r="V10" s="11">
        <f>'KPI by Quarter'!I28</f>
        <v>0</v>
      </c>
      <c r="W10" s="11">
        <f>'KPI by Quarter'!J28</f>
        <v>0</v>
      </c>
      <c r="X10" s="11">
        <f>'KPI by Quarter'!K28</f>
        <v>0</v>
      </c>
      <c r="Y10" s="11">
        <f>'KPI by Quarter'!L28</f>
        <v>0</v>
      </c>
      <c r="Z10" s="11">
        <f>'KPI by Quarter'!M28</f>
        <v>0</v>
      </c>
      <c r="AA10" s="11">
        <f>'KPI by Quarter'!N28</f>
        <v>0</v>
      </c>
      <c r="AB10" s="11">
        <f>'KPI by Quarter'!B45</f>
        <v>0</v>
      </c>
      <c r="AC10" s="11">
        <f>'KPI by Quarter'!C45</f>
        <v>0</v>
      </c>
      <c r="AD10" s="11">
        <f>'KPI by Quarter'!D45</f>
        <v>0</v>
      </c>
      <c r="AE10" s="11">
        <f>'KPI by Quarter'!E45</f>
        <v>0</v>
      </c>
      <c r="AF10" s="11">
        <f>'KPI by Quarter'!F45</f>
        <v>0</v>
      </c>
      <c r="AG10" s="11">
        <f>'KPI by Quarter'!G45</f>
        <v>0</v>
      </c>
      <c r="AH10" s="11">
        <f>'KPI by Quarter'!H45</f>
        <v>0</v>
      </c>
      <c r="AI10" s="11">
        <f>'KPI by Quarter'!I45</f>
        <v>0</v>
      </c>
      <c r="AJ10" s="11">
        <f>'KPI by Quarter'!J45</f>
        <v>0</v>
      </c>
      <c r="AK10" s="11">
        <f>'KPI by Quarter'!K45</f>
        <v>0</v>
      </c>
      <c r="AL10" s="11">
        <f>'KPI by Quarter'!L45</f>
        <v>0</v>
      </c>
      <c r="AM10" s="11">
        <f>'KPI by Quarter'!M45</f>
        <v>0</v>
      </c>
      <c r="AN10" s="11">
        <f>'KPI by Quarter'!N45</f>
        <v>0</v>
      </c>
      <c r="AO10" s="11">
        <f>'KPI by Quarter'!B62</f>
        <v>0</v>
      </c>
      <c r="AP10" s="11">
        <f>'KPI by Quarter'!C62</f>
        <v>0</v>
      </c>
      <c r="AQ10" s="11">
        <f>'KPI by Quarter'!D62</f>
        <v>0</v>
      </c>
      <c r="AR10" s="11">
        <f>'KPI by Quarter'!E62</f>
        <v>0</v>
      </c>
      <c r="AS10" s="11">
        <f>'KPI by Quarter'!F62</f>
        <v>0</v>
      </c>
      <c r="AT10" s="11">
        <f>'KPI by Quarter'!G62</f>
        <v>0</v>
      </c>
      <c r="AU10" s="11">
        <f>'KPI by Quarter'!H62</f>
        <v>0</v>
      </c>
      <c r="AV10" s="11">
        <f>'KPI by Quarter'!I62</f>
        <v>0</v>
      </c>
      <c r="AW10" s="11">
        <f>'KPI by Quarter'!J62</f>
        <v>0</v>
      </c>
      <c r="AX10" s="11">
        <f>'KPI by Quarter'!K62</f>
        <v>0</v>
      </c>
      <c r="AY10" s="11">
        <f>'KPI by Quarter'!L62</f>
        <v>0</v>
      </c>
      <c r="AZ10" s="11">
        <f>'KPI by Quarter'!M62</f>
        <v>0</v>
      </c>
      <c r="BA10" s="11">
        <f>'KPI by Quarter'!N62</f>
        <v>0</v>
      </c>
    </row>
    <row r="11" ht="15.75" customHeight="1" spans="1:53" x14ac:dyDescent="0.25">
      <c r="A11" s="10" t="s">
        <v>8</v>
      </c>
      <c r="B11" s="11">
        <f>'KPI by Quarter'!B12</f>
        <v>3279</v>
      </c>
      <c r="C11" s="11">
        <f>'KPI by Quarter'!C12</f>
        <v>4700</v>
      </c>
      <c r="D11" s="11">
        <f>'KPI by Quarter'!D12</f>
        <v>3386</v>
      </c>
      <c r="E11" s="11">
        <f>'KPI by Quarter'!E12</f>
        <v>2992</v>
      </c>
      <c r="F11" s="11">
        <f>'KPI by Quarter'!F12</f>
        <v>3010</v>
      </c>
      <c r="G11" s="11">
        <f>'KPI by Quarter'!G12</f>
        <v>3278</v>
      </c>
      <c r="H11" s="11">
        <f>'KPI by Quarter'!H12</f>
        <v>3624</v>
      </c>
      <c r="I11" s="11">
        <f>'KPI by Quarter'!I12</f>
        <v>3748</v>
      </c>
      <c r="J11" s="11">
        <f>'KPI by Quarter'!J12</f>
        <v>153264</v>
      </c>
      <c r="K11" s="11">
        <f>'KPI by Quarter'!K12</f>
        <v>16940</v>
      </c>
      <c r="L11" s="11">
        <f>'KPI by Quarter'!L12</f>
        <v>5171</v>
      </c>
      <c r="M11" s="11">
        <f>'KPI by Quarter'!M12</f>
        <v>3906</v>
      </c>
      <c r="N11" s="11">
        <f>'KPI by Quarter'!N12</f>
        <v>3455</v>
      </c>
      <c r="O11" s="11">
        <f>'KPI by Quarter'!B29</f>
        <v>3364</v>
      </c>
      <c r="P11" s="11">
        <f>'KPI by Quarter'!C29</f>
        <v>3463</v>
      </c>
      <c r="Q11" s="11">
        <f>'KPI by Quarter'!D29</f>
        <v>2997</v>
      </c>
      <c r="R11" s="11">
        <f>'KPI by Quarter'!E29</f>
        <v>2844</v>
      </c>
      <c r="S11" s="11">
        <f>'KPI by Quarter'!F29</f>
        <v>2837</v>
      </c>
      <c r="T11" s="11">
        <f>'KPI by Quarter'!G29</f>
        <v>0</v>
      </c>
      <c r="U11" s="11">
        <f>'KPI by Quarter'!H29</f>
        <v>0</v>
      </c>
      <c r="V11" s="11">
        <f>'KPI by Quarter'!I29</f>
        <v>0</v>
      </c>
      <c r="W11" s="11">
        <f>'KPI by Quarter'!J29</f>
        <v>0</v>
      </c>
      <c r="X11" s="11">
        <f>'KPI by Quarter'!K29</f>
        <v>0</v>
      </c>
      <c r="Y11" s="11">
        <f>'KPI by Quarter'!L29</f>
        <v>0</v>
      </c>
      <c r="Z11" s="11">
        <f>'KPI by Quarter'!M29</f>
        <v>0</v>
      </c>
      <c r="AA11" s="11">
        <f>'KPI by Quarter'!N29</f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</row>
    <row r="12" ht="15.75" customHeight="1" spans="1:53" x14ac:dyDescent="0.25">
      <c r="A12" s="10" t="s">
        <v>9</v>
      </c>
      <c r="B12" s="11">
        <f>'KPI by Quarter'!B13</f>
        <v>1513</v>
      </c>
      <c r="C12" s="11">
        <f>'KPI by Quarter'!C13</f>
        <v>833</v>
      </c>
      <c r="D12" s="11">
        <f>'KPI by Quarter'!D13</f>
        <v>795</v>
      </c>
      <c r="E12" s="11">
        <f>'KPI by Quarter'!E13</f>
        <v>690</v>
      </c>
      <c r="F12" s="11">
        <f>'KPI by Quarter'!F13</f>
        <v>1056</v>
      </c>
      <c r="G12" s="11">
        <f>'KPI by Quarter'!G13</f>
        <v>885</v>
      </c>
      <c r="H12" s="11">
        <f>'KPI by Quarter'!H13</f>
        <v>1126</v>
      </c>
      <c r="I12" s="11">
        <f>'KPI by Quarter'!I13</f>
        <v>906</v>
      </c>
      <c r="J12" s="11">
        <f>'KPI by Quarter'!J13</f>
        <v>5244</v>
      </c>
      <c r="K12" s="11">
        <f>'KPI by Quarter'!K13</f>
        <v>1617</v>
      </c>
      <c r="L12" s="11">
        <f>'KPI by Quarter'!L13</f>
        <v>1051</v>
      </c>
      <c r="M12" s="11">
        <f>'KPI by Quarter'!M13</f>
        <v>1005</v>
      </c>
      <c r="N12" s="11">
        <f>'KPI by Quarter'!N13</f>
        <v>4897</v>
      </c>
      <c r="O12" s="11">
        <f>'KPI by Quarter'!B30</f>
        <v>5782</v>
      </c>
      <c r="P12" s="11">
        <f>'KPI by Quarter'!C30</f>
        <v>7678</v>
      </c>
      <c r="Q12" s="11">
        <f>'KPI by Quarter'!D30</f>
        <v>5615</v>
      </c>
      <c r="R12" s="11">
        <f>'KPI by Quarter'!E30</f>
        <v>5242</v>
      </c>
      <c r="S12" s="11">
        <f>'KPI by Quarter'!F30</f>
        <v>7094</v>
      </c>
      <c r="T12" s="11">
        <f>'KPI by Quarter'!G30</f>
        <v>0</v>
      </c>
      <c r="U12" s="11">
        <f>'KPI by Quarter'!H30</f>
        <v>0</v>
      </c>
      <c r="V12" s="11">
        <f>'KPI by Quarter'!I30</f>
        <v>0</v>
      </c>
      <c r="W12" s="11">
        <f>'KPI by Quarter'!J30</f>
        <v>0</v>
      </c>
      <c r="X12" s="11">
        <f>'KPI by Quarter'!K30</f>
        <v>0</v>
      </c>
      <c r="Y12" s="11">
        <f>'KPI by Quarter'!L30</f>
        <v>0</v>
      </c>
      <c r="Z12" s="11">
        <f>'KPI by Quarter'!M30</f>
        <v>0</v>
      </c>
      <c r="AA12" s="11">
        <f>'KPI by Quarter'!N30</f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</row>
    <row r="13" ht="15.75" customHeight="1" spans="1:53" s="5" customFormat="1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ht="15.75" customHeight="1" spans="1:53" x14ac:dyDescent="0.25">
      <c r="A14" s="12" t="s">
        <v>10</v>
      </c>
      <c r="B14" s="13">
        <f>'KPI by Quarter'!B15</f>
        <v>49</v>
      </c>
      <c r="C14" s="13">
        <f>'KPI by Quarter'!C15</f>
        <v>76</v>
      </c>
      <c r="D14" s="13">
        <f>'KPI by Quarter'!D15</f>
        <v>138</v>
      </c>
      <c r="E14" s="13">
        <f>'KPI by Quarter'!E15</f>
        <v>33</v>
      </c>
      <c r="F14" s="13">
        <f>'KPI by Quarter'!F15</f>
        <v>-2</v>
      </c>
      <c r="G14" s="13">
        <f>'KPI by Quarter'!G15</f>
        <v>12</v>
      </c>
      <c r="H14" s="13">
        <f>'KPI by Quarter'!H15</f>
        <v>1</v>
      </c>
      <c r="I14" s="13">
        <f>'KPI by Quarter'!I15</f>
        <v>0</v>
      </c>
      <c r="J14" s="13">
        <f>'KPI by Quarter'!J15</f>
        <v>-14</v>
      </c>
      <c r="K14" s="13">
        <f>'KPI by Quarter'!K15</f>
        <v>5</v>
      </c>
      <c r="L14" s="13">
        <f>'KPI by Quarter'!L15</f>
        <v>1</v>
      </c>
      <c r="M14" s="13">
        <f>'KPI by Quarter'!M15</f>
        <v>-5</v>
      </c>
      <c r="N14" s="13">
        <f>'KPI by Quarter'!N15</f>
        <v>-2</v>
      </c>
      <c r="O14" s="13">
        <f>'KPI by Quarter'!B32</f>
        <v>8</v>
      </c>
      <c r="P14" s="13">
        <f>'KPI by Quarter'!C32</f>
        <v>8</v>
      </c>
      <c r="Q14" s="13">
        <f>'KPI by Quarter'!D32</f>
        <v>-4</v>
      </c>
      <c r="R14" s="13">
        <f>'KPI by Quarter'!E32</f>
        <v>-2</v>
      </c>
      <c r="S14" s="13">
        <f>'KPI by Quarter'!F32</f>
        <v>15</v>
      </c>
      <c r="T14" s="13">
        <f>'KPI by Quarter'!G32</f>
        <v>0</v>
      </c>
      <c r="U14" s="13">
        <f>'KPI by Quarter'!H32</f>
        <v>0</v>
      </c>
      <c r="V14" s="13">
        <f>'KPI by Quarter'!I32</f>
        <v>0</v>
      </c>
      <c r="W14" s="13">
        <f>'KPI by Quarter'!J32</f>
        <v>0</v>
      </c>
      <c r="X14" s="13">
        <f>'KPI by Quarter'!K32</f>
        <v>0</v>
      </c>
      <c r="Y14" s="13">
        <f>'KPI by Quarter'!L32</f>
        <v>0</v>
      </c>
      <c r="Z14" s="13">
        <f>'KPI by Quarter'!M32</f>
        <v>0</v>
      </c>
      <c r="AA14" s="13">
        <f>'KPI by Quarter'!N32</f>
        <v>0</v>
      </c>
      <c r="AB14" s="13">
        <f>'KPI by Quarter'!B49</f>
        <v>0</v>
      </c>
      <c r="AC14" s="13">
        <f>'KPI by Quarter'!C49</f>
        <v>0</v>
      </c>
      <c r="AD14" s="13">
        <f>'KPI by Quarter'!D49</f>
        <v>0</v>
      </c>
      <c r="AE14" s="13">
        <f>'KPI by Quarter'!E49</f>
        <v>0</v>
      </c>
      <c r="AF14" s="13">
        <f>'KPI by Quarter'!F49</f>
        <v>0</v>
      </c>
      <c r="AG14" s="13">
        <f>'KPI by Quarter'!G49</f>
        <v>0</v>
      </c>
      <c r="AH14" s="13">
        <f>'KPI by Quarter'!H49</f>
        <v>0</v>
      </c>
      <c r="AI14" s="13">
        <f>'KPI by Quarter'!I49</f>
        <v>0</v>
      </c>
      <c r="AJ14" s="13">
        <f>'KPI by Quarter'!J49</f>
        <v>0</v>
      </c>
      <c r="AK14" s="13">
        <f>'KPI by Quarter'!K49</f>
        <v>0</v>
      </c>
      <c r="AL14" s="13">
        <f>'KPI by Quarter'!L49</f>
        <v>0</v>
      </c>
      <c r="AM14" s="13">
        <f>'KPI by Quarter'!M49</f>
        <v>0</v>
      </c>
      <c r="AN14" s="13">
        <f>'KPI by Quarter'!N49</f>
        <v>0</v>
      </c>
      <c r="AO14" s="13">
        <f>'KPI by Quarter'!B66</f>
        <v>0</v>
      </c>
      <c r="AP14" s="13">
        <f>'KPI by Quarter'!C66</f>
        <v>0</v>
      </c>
      <c r="AQ14" s="13">
        <f>'KPI by Quarter'!D66</f>
        <v>0</v>
      </c>
      <c r="AR14" s="13">
        <f>'KPI by Quarter'!E66</f>
        <v>0</v>
      </c>
      <c r="AS14" s="13">
        <f>'KPI by Quarter'!F66</f>
        <v>0</v>
      </c>
      <c r="AT14" s="13">
        <f>'KPI by Quarter'!G66</f>
        <v>0</v>
      </c>
      <c r="AU14" s="13">
        <f>'KPI by Quarter'!H66</f>
        <v>0</v>
      </c>
      <c r="AV14" s="13">
        <f>'KPI by Quarter'!I66</f>
        <v>0</v>
      </c>
      <c r="AW14" s="13">
        <f>'KPI by Quarter'!J66</f>
        <v>0</v>
      </c>
      <c r="AX14" s="13">
        <f>'KPI by Quarter'!K66</f>
        <v>0</v>
      </c>
      <c r="AY14" s="13">
        <f>'KPI by Quarter'!L66</f>
        <v>0</v>
      </c>
      <c r="AZ14" s="13">
        <f>'KPI by Quarter'!M66</f>
        <v>0</v>
      </c>
      <c r="BA14" s="13">
        <f>'KPI by Quarter'!N66</f>
        <v>0</v>
      </c>
    </row>
    <row r="15" ht="15.75" customHeight="1" spans="1:53" x14ac:dyDescent="0.25">
      <c r="A15" s="12" t="s">
        <v>11</v>
      </c>
      <c r="B15" s="13">
        <f>'KPI by Quarter'!B16</f>
        <v>5095</v>
      </c>
      <c r="C15" s="13">
        <f>'KPI by Quarter'!C16</f>
        <v>6399</v>
      </c>
      <c r="D15" s="13">
        <f>'KPI by Quarter'!D16</f>
        <v>5490</v>
      </c>
      <c r="E15" s="13">
        <f>'KPI by Quarter'!E16</f>
        <v>5392</v>
      </c>
      <c r="F15" s="13">
        <f>'KPI by Quarter'!F16</f>
        <v>5225</v>
      </c>
      <c r="G15" s="13">
        <f>'KPI by Quarter'!G16</f>
        <v>4806</v>
      </c>
      <c r="H15" s="13">
        <f>'KPI by Quarter'!H16</f>
        <v>4560</v>
      </c>
      <c r="I15" s="13">
        <f>'KPI by Quarter'!I16</f>
        <v>4282</v>
      </c>
      <c r="J15" s="13">
        <v>4123</v>
      </c>
      <c r="K15" s="13">
        <f>'KPI by Quarter'!K16</f>
        <v>4376</v>
      </c>
      <c r="L15" s="13">
        <f>'KPI by Quarter'!L16</f>
        <v>3950</v>
      </c>
      <c r="M15" s="13">
        <f>'KPI by Quarter'!M16</f>
        <v>5167</v>
      </c>
      <c r="N15" s="13">
        <f>'KPI by Quarter'!N16</f>
        <v>4403</v>
      </c>
      <c r="O15" s="13">
        <f>'KPI by Quarter'!B33</f>
        <v>3652</v>
      </c>
      <c r="P15" s="13">
        <f>'KPI by Quarter'!C33</f>
        <v>3825</v>
      </c>
      <c r="Q15" s="13">
        <f>'KPI by Quarter'!D33</f>
        <v>5291</v>
      </c>
      <c r="R15" s="13">
        <f>'KPI by Quarter'!E33</f>
        <v>4857</v>
      </c>
      <c r="S15" s="13">
        <f>'KPI by Quarter'!F33</f>
        <v>6270</v>
      </c>
      <c r="T15" s="13">
        <f>'KPI by Quarter'!G33</f>
        <v>0</v>
      </c>
      <c r="U15" s="13">
        <f>'KPI by Quarter'!H33</f>
        <v>0</v>
      </c>
      <c r="V15" s="13">
        <f>'KPI by Quarter'!I33</f>
        <v>0</v>
      </c>
      <c r="W15" s="13">
        <f>'KPI by Quarter'!J33</f>
        <v>0</v>
      </c>
      <c r="X15" s="13">
        <f>'KPI by Quarter'!K33</f>
        <v>0</v>
      </c>
      <c r="Y15" s="13">
        <f>'KPI by Quarter'!L33</f>
        <v>0</v>
      </c>
      <c r="Z15" s="13">
        <f>'KPI by Quarter'!M33</f>
        <v>0</v>
      </c>
      <c r="AA15" s="13">
        <f>'KPI by Quarter'!N33</f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</row>
    <row r="16" ht="15.75" customHeight="1" spans="1:53" x14ac:dyDescent="0.25">
      <c r="A16" s="12" t="s">
        <v>12</v>
      </c>
      <c r="B16" s="13">
        <f>'KPI by Quarter'!B17</f>
        <v>1107</v>
      </c>
      <c r="C16" s="13">
        <f>'KPI by Quarter'!C17</f>
        <v>2049</v>
      </c>
      <c r="D16" s="13">
        <f>'KPI by Quarter'!D17</f>
        <v>1631</v>
      </c>
      <c r="E16" s="13">
        <f>'KPI by Quarter'!E17</f>
        <v>889</v>
      </c>
      <c r="F16" s="13">
        <f>'KPI by Quarter'!F17</f>
        <v>726</v>
      </c>
      <c r="G16" s="13">
        <f>'KPI by Quarter'!G17</f>
        <v>705</v>
      </c>
      <c r="H16" s="13">
        <f>'KPI by Quarter'!H17</f>
        <v>769</v>
      </c>
      <c r="I16" s="13">
        <f>'KPI by Quarter'!I17</f>
        <v>704</v>
      </c>
      <c r="J16" s="13">
        <f>'KPI by Quarter'!J17</f>
        <v>906</v>
      </c>
      <c r="K16" s="13">
        <f>'KPI by Quarter'!K17</f>
        <v>799</v>
      </c>
      <c r="L16" s="13">
        <f>'KPI by Quarter'!L17</f>
        <v>662</v>
      </c>
      <c r="M16" s="13">
        <f>'KPI by Quarter'!M17</f>
        <v>751</v>
      </c>
      <c r="N16" s="13">
        <f>'KPI by Quarter'!N17</f>
        <v>707</v>
      </c>
      <c r="O16" s="13">
        <f>'KPI by Quarter'!B34</f>
        <v>783</v>
      </c>
      <c r="P16" s="13">
        <f>'KPI by Quarter'!C34</f>
        <v>790</v>
      </c>
      <c r="Q16" s="13">
        <f>'KPI by Quarter'!D34</f>
        <v>614</v>
      </c>
      <c r="R16" s="13">
        <f>'KPI by Quarter'!E34</f>
        <v>891</v>
      </c>
      <c r="S16" s="13">
        <f>'KPI by Quarter'!F34</f>
        <v>1106</v>
      </c>
      <c r="T16" s="13">
        <f>'KPI by Quarter'!G34</f>
        <v>0</v>
      </c>
      <c r="U16" s="13">
        <f>'KPI by Quarter'!H34</f>
        <v>0</v>
      </c>
      <c r="V16" s="13">
        <f>'KPI by Quarter'!I34</f>
        <v>0</v>
      </c>
      <c r="W16" s="13">
        <f>'KPI by Quarter'!J34</f>
        <v>0</v>
      </c>
      <c r="X16" s="13">
        <f>'KPI by Quarter'!K34</f>
        <v>0</v>
      </c>
      <c r="Y16" s="13">
        <f>'KPI by Quarter'!L34</f>
        <v>0</v>
      </c>
      <c r="Z16" s="13">
        <f>'KPI by Quarter'!M34</f>
        <v>0</v>
      </c>
      <c r="AA16" s="13">
        <f>'KPI by Quarter'!N34</f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</row>
    <row r="18" ht="15.75" customHeight="1" spans="1:11" x14ac:dyDescent="0.25">
      <c r="A18" s="14" t="s">
        <v>13</v>
      </c>
      <c r="B18" s="14" t="s">
        <v>14</v>
      </c>
      <c r="C18" s="14" t="s">
        <v>15</v>
      </c>
      <c r="D18" s="14" t="s">
        <v>16</v>
      </c>
      <c r="E18" s="14" t="s">
        <v>17</v>
      </c>
      <c r="G18" s="15" t="s">
        <v>18</v>
      </c>
      <c r="H18" s="16"/>
      <c r="I18" s="16"/>
      <c r="J18" s="16"/>
      <c r="K18" s="16"/>
    </row>
    <row r="19" ht="15.75" customHeight="1" spans="1:11" x14ac:dyDescent="0.25">
      <c r="A19" s="17" t="s">
        <v>19</v>
      </c>
      <c r="B19" s="18">
        <f t="array" ref="B19">IFERROR(_xlfn.LET(_xlpm.vals,_xlfn._xlws.FILTER(B2:BA2,(B2:BA2&lt;&gt;0)*(ISNUMBER(B2:BA2))),_xlpm.lastVal,INDEX(_xlpm.vals,COLUMNS(_xlpm.vals)),_xlpm.prevVal,INDEX(_xlpm.vals,COLUMNS(_xlpm.vals)-1),(_xlpm.lastVal-_xlpm.prevVal)/ABS(_xlpm.prevVal)),"-")</f>
        <v>-0.7404268675455116</v>
      </c>
      <c r="C19" s="19">
        <f t="array" ref="C19">IFERROR(_xlfn.LET(_xlpm.vals,_xlfn._xlws.FILTER(B6:BA6,(B6:BA6&lt;&gt;0)*(ISNUMBER(B6:BA6))),_xlpm.lastVal,INDEX(_xlpm.vals,COLUMNS(_xlpm.vals)),_xlpm.prevVal,INDEX(_xlpm.vals,COLUMNS(_xlpm.vals)-1),(_xlpm.lastVal-_xlpm.prevVal)/ABS(_xlpm.prevVal)),"-")</f>
        <v>-0.4708171206225681</v>
      </c>
      <c r="D19" s="20">
        <f t="array" ref="D19">IFERROR(_xlfn.LET(_xlpm.vals,_xlfn._xlws.FILTER(B10:BA10,(B10:BA10&lt;&gt;0)*(ISNUMBER(B10:BA10))),_xlpm.lastVal,INDEX(_xlpm.vals,COLUMNS(_xlpm.vals)),_xlpm.prevVal,INDEX(_xlpm.vals,COLUMNS(_xlpm.vals)-1),(_xlpm.lastVal-_xlpm.prevVal)/ABS(_xlpm.prevVal)),"-")</f>
        <v>-0.46153846153846156</v>
      </c>
      <c r="E19" s="21">
        <f t="array" ref="E19">IFERROR(_xlfn.LET(_xlpm.vals,_xlfn._xlws.FILTER(B14:BA14,(B14:BA14&lt;&gt;0)*(ISNUMBER(B14:BA14))),_xlpm.lastVal,INDEX(_xlpm.vals,COLUMNS(_xlpm.vals)),_xlpm.prevVal,INDEX(_xlpm.vals,COLUMNS(_xlpm.vals)-1),(_xlpm.lastVal-_xlpm.prevVal)/ABS(_xlpm.prevVal)),"-")</f>
        <v>8.5</v>
      </c>
      <c r="G19" s="16"/>
      <c r="H19" s="16"/>
      <c r="I19" s="16"/>
      <c r="J19" s="16"/>
      <c r="K19" s="16"/>
    </row>
    <row r="20" ht="15.75" customHeight="1" spans="1:11" x14ac:dyDescent="0.25">
      <c r="A20" s="17" t="s">
        <v>20</v>
      </c>
      <c r="B20" s="18">
        <f t="array" ref="B20">IFERROR(_xlfn.LET(_xlpm.vals,_xlfn._xlws.FILTER(B3:BA3,(B3:BA3&lt;&gt;0)*(ISNUMBER(B3:BA3))),_xlpm.lastVal,INDEX(_xlpm.vals,COLUMNS(_xlpm.vals)),_xlpm.prevVal,INDEX(_xlpm.vals,COLUMNS(_xlpm.vals)-1),(_xlpm.lastVal-_xlpm.prevVal)/ABS(_xlpm.prevVal)),"-")</f>
        <v>-0.11063956963538553</v>
      </c>
      <c r="C20" s="19">
        <f t="array" ref="C20">IFERROR(_xlfn.LET(_xlpm.vals,_xlfn._xlws.FILTER(B7:BA7,(B7:BA7&lt;&gt;0)*(ISNUMBER(B7:BA7))),_xlpm.lastVal,INDEX(_xlpm.vals,COLUMNS(_xlpm.vals)),_xlpm.prevVal,INDEX(_xlpm.vals,COLUMNS(_xlpm.vals)-1),(_xlpm.lastVal-_xlpm.prevVal)/ABS(_xlpm.prevVal)),"-")</f>
        <v>0.03138496976677224</v>
      </c>
      <c r="D20" s="20">
        <f t="array" ref="D20">IFERROR(_xlfn.LET(_xlpm.vals,_xlfn._xlws.FILTER(B11:BA11,(B11:BA11&lt;&gt;0)*(ISNUMBER(B11:BA11))),_xlpm.lastVal,INDEX(_xlpm.vals,COLUMNS(_xlpm.vals)),_xlpm.prevVal,INDEX(_xlpm.vals,COLUMNS(_xlpm.vals)-1),(_xlpm.lastVal-_xlpm.prevVal)/ABS(_xlpm.prevVal)),"-")</f>
        <v>-0.0024613220815752463</v>
      </c>
      <c r="E20" s="21">
        <f t="array" ref="E20">IFERROR(_xlfn.LET(_xlpm.vals,_xlfn._xlws.FILTER(B15:BA15,(B15:BA15&lt;&gt;0)*(ISNUMBER(B15:BA15))),_xlpm.lastVal,INDEX(_xlpm.vals,COLUMNS(_xlpm.vals)),_xlpm.prevVal,INDEX(_xlpm.vals,COLUMNS(_xlpm.vals)-1),(_xlpm.lastVal-_xlpm.prevVal)/ABS(_xlpm.prevVal)),"-")</f>
        <v>0.2909203211859172</v>
      </c>
      <c r="G20" s="16"/>
      <c r="H20" s="16"/>
      <c r="I20" s="16"/>
      <c r="J20" s="16"/>
      <c r="K20" s="16"/>
    </row>
    <row r="21" ht="15.75" customHeight="1" spans="1:11" x14ac:dyDescent="0.25">
      <c r="A21" s="17" t="s">
        <v>21</v>
      </c>
      <c r="B21" s="18">
        <f t="array" ref="B21">IFERROR(_xlfn.LET(_xlpm.vals,_xlfn._xlws.FILTER(B4:BA4,(B4:BA4&lt;&gt;0)*(ISNUMBER(B4:BA4))),_xlpm.lastVal,INDEX(_xlpm.vals,COLUMNS(_xlpm.vals)),_xlpm.prevVal,INDEX(_xlpm.vals,COLUMNS(_xlpm.vals)-1),(_xlpm.lastVal-_xlpm.prevVal)/ABS(_xlpm.prevVal)),"-")</f>
        <v>-0.582710632755193</v>
      </c>
      <c r="C21" s="19">
        <f t="array" ref="C21">IFERROR(_xlfn.LET(_xlpm.vals,_xlfn._xlws.FILTER(B8:BA8,(B8:BA8&lt;&gt;0)*(ISNUMBER(B8:BA8))),_xlpm.lastVal,INDEX(_xlpm.vals,COLUMNS(_xlpm.vals)),_xlpm.prevVal,INDEX(_xlpm.vals,COLUMNS(_xlpm.vals)-1),(_xlpm.lastVal-_xlpm.prevVal)/ABS(_xlpm.prevVal)),"-")</f>
        <v>-0.02594033722438392</v>
      </c>
      <c r="D21" s="20">
        <f t="array" ref="D21">IFERROR(_xlfn.LET(_xlpm.vals,_xlfn._xlws.FILTER(B12:BA12,(B12:BA12&lt;&gt;0)*(ISNUMBER(B12:BA12))),_xlpm.lastVal,INDEX(_xlpm.vals,COLUMNS(_xlpm.vals)),_xlpm.prevVal,INDEX(_xlpm.vals,COLUMNS(_xlpm.vals)-1),(_xlpm.lastVal-_xlpm.prevVal)/ABS(_xlpm.prevVal)),"-")</f>
        <v>0.35330026707363604</v>
      </c>
      <c r="E21" s="21">
        <f t="array" ref="E21">IFERROR(_xlfn.LET(_xlpm.vals,_xlfn._xlws.FILTER(B16:BA16,(B16:BA16&lt;&gt;0)*(ISNUMBER(B16:BA16))),_xlpm.lastVal,INDEX(_xlpm.vals,COLUMNS(_xlpm.vals)),_xlpm.prevVal,INDEX(_xlpm.vals,COLUMNS(_xlpm.vals)-1),(_xlpm.lastVal-_xlpm.prevVal)/ABS(_xlpm.prevVal)),"-")</f>
        <v>0.24130190796857465</v>
      </c>
      <c r="G21" s="16"/>
      <c r="H21" s="16"/>
      <c r="I21" s="16"/>
      <c r="J21" s="16"/>
      <c r="K21" s="16"/>
    </row>
    <row r="22" ht="15.75" customHeight="1" spans="1:11" x14ac:dyDescent="0.25">
      <c r="A22" s="22"/>
      <c r="B22" s="23"/>
      <c r="C22" s="23"/>
      <c r="D22" s="23"/>
      <c r="E22" s="23"/>
      <c r="G22" s="16"/>
      <c r="H22" s="16"/>
      <c r="I22" s="16"/>
      <c r="J22" s="16"/>
      <c r="K22" s="16"/>
    </row>
    <row r="23" ht="15.75" customHeight="1" spans="1:11" x14ac:dyDescent="0.25">
      <c r="A23" s="24" t="s">
        <v>22</v>
      </c>
      <c r="B23" s="25" t="s">
        <v>14</v>
      </c>
      <c r="C23" s="25" t="s">
        <v>15</v>
      </c>
      <c r="D23" s="25" t="s">
        <v>16</v>
      </c>
      <c r="E23" s="25" t="s">
        <v>17</v>
      </c>
      <c r="G23" s="16"/>
      <c r="H23" s="16"/>
      <c r="I23" s="16"/>
      <c r="J23" s="16"/>
      <c r="K23" s="16"/>
    </row>
    <row r="24" ht="15.75" customHeight="1" spans="1:11" x14ac:dyDescent="0.25">
      <c r="A24" s="26" t="s">
        <v>19</v>
      </c>
      <c r="B24" s="27">
        <f>SUM(B2:BA2)</f>
        <v>5407</v>
      </c>
      <c r="C24" s="28">
        <f>SUM(B6:BA6)</f>
        <v>2482</v>
      </c>
      <c r="D24" s="29">
        <f>SUM(B10:BA10)</f>
        <v>1569</v>
      </c>
      <c r="E24" s="30">
        <f>SUM(B14:BA14)</f>
        <v>317</v>
      </c>
      <c r="G24" s="16"/>
      <c r="H24" s="16"/>
      <c r="I24" s="16"/>
      <c r="J24" s="16"/>
      <c r="K24" s="16"/>
    </row>
    <row r="25" ht="15.75" customHeight="1" spans="1:11" x14ac:dyDescent="0.25">
      <c r="A25" s="26" t="s">
        <v>20</v>
      </c>
      <c r="B25" s="27">
        <f>SUMIF(B3:BA3,"&lt;&gt;-")</f>
        <v>114812</v>
      </c>
      <c r="C25" s="28">
        <f>SUMIF(B7:BA7,"&lt;&gt;-")</f>
        <v>73723</v>
      </c>
      <c r="D25" s="29">
        <f>SUMIF(B11:BA11,"&lt;&gt;-")</f>
        <v>226258</v>
      </c>
      <c r="E25" s="30">
        <f>SUMIF(B15:BA15,"&lt;&gt;-")</f>
        <v>87163</v>
      </c>
      <c r="G25" s="16"/>
      <c r="H25" s="16"/>
      <c r="I25" s="16"/>
      <c r="J25" s="16"/>
      <c r="K25" s="16"/>
    </row>
    <row r="26" ht="15.75" customHeight="1" spans="1:11" x14ac:dyDescent="0.25">
      <c r="A26" s="26" t="s">
        <v>21</v>
      </c>
      <c r="B26" s="27">
        <f>SUMIF(B4:BA4,"&lt;&gt;-")</f>
        <v>38003</v>
      </c>
      <c r="C26" s="28">
        <f>SUMIF(B8:BA8,"&lt;&gt;-")</f>
        <v>17126</v>
      </c>
      <c r="D26" s="29">
        <f>SUMIF(B12:BA12,"&lt;&gt;-")</f>
        <v>53029</v>
      </c>
      <c r="E26" s="30">
        <f>SUMIF(B16:BA16,"&lt;&gt;-")</f>
        <v>16589</v>
      </c>
      <c r="G26" s="16"/>
      <c r="H26" s="16"/>
      <c r="I26" s="16"/>
      <c r="J26" s="16"/>
      <c r="K26" s="16"/>
    </row>
    <row r="28" spans="1:18" x14ac:dyDescent="0.25">
      <c r="A28" t="s">
        <v>23</v>
      </c>
      <c r="B28">
        <f>'KPI by Quarter'!B71</f>
      </c>
      <c r="C28">
        <f>'KPI by Quarter'!C71</f>
      </c>
      <c r="D28">
        <f>'KPI by Quarter'!D71</f>
      </c>
      <c r="E28">
        <f>'KPI by Quarter'!E71</f>
      </c>
      <c r="F28">
        <f>'KPI by Quarter'!F71</f>
      </c>
      <c r="G28">
        <f>'KPI by Quarter'!G71</f>
      </c>
      <c r="H28">
        <f>'KPI by Quarter'!H71</f>
      </c>
      <c r="I28">
        <f>'KPI by Quarter'!I71</f>
      </c>
      <c r="J28">
        <f>'KPI by Quarter'!J71</f>
      </c>
      <c r="K28">
        <f>'KPI by Quarter'!K71</f>
      </c>
      <c r="L28">
        <f>'KPI by Quarter'!L71</f>
      </c>
      <c r="M28">
        <f>'KPI by Quarter'!M71</f>
      </c>
      <c r="N28">
        <f>'KPI by Quarter'!N71</f>
      </c>
      <c r="O28">
        <f>'KPI by Quarter'!B76</f>
      </c>
      <c r="P28">
        <f>'KPI by Quarter'!C76</f>
      </c>
      <c r="Q28">
        <f>'KPI by Quarter'!D76</f>
      </c>
      <c r="R28">
        <f>'KPI by Quarter'!E76</f>
      </c>
    </row>
    <row r="29" spans="1:18" x14ac:dyDescent="0.25">
      <c r="A29" t="s">
        <v>24</v>
      </c>
      <c r="B29">
        <f>'KPI by Quarter'!B72</f>
      </c>
      <c r="C29">
        <f>'KPI by Quarter'!C72</f>
      </c>
      <c r="D29">
        <f>'KPI by Quarter'!D72</f>
      </c>
      <c r="E29">
        <f>'KPI by Quarter'!E72</f>
      </c>
      <c r="F29">
        <f>'KPI by Quarter'!F72</f>
      </c>
      <c r="G29">
        <f>'KPI by Quarter'!G72</f>
      </c>
      <c r="H29">
        <f>'KPI by Quarter'!H72</f>
      </c>
      <c r="I29">
        <f>'KPI by Quarter'!I72</f>
      </c>
      <c r="J29">
        <f>'KPI by Quarter'!J72</f>
      </c>
      <c r="K29">
        <f>'KPI by Quarter'!K72</f>
      </c>
      <c r="L29">
        <f>'KPI by Quarter'!L72</f>
      </c>
      <c r="M29">
        <f>'KPI by Quarter'!M72</f>
      </c>
      <c r="N29">
        <f>'KPI by Quarter'!N72</f>
      </c>
      <c r="O29">
        <f>'KPI by Quarter'!B77</f>
      </c>
      <c r="P29">
        <f>'KPI by Quarter'!C77</f>
      </c>
      <c r="Q29">
        <f>'KPI by Quarter'!D77</f>
      </c>
      <c r="R29">
        <f>'KPI by Quarter'!E77</f>
      </c>
    </row>
    <row r="30" spans="1:18" x14ac:dyDescent="0.25">
      <c r="A30" t="s">
        <v>25</v>
      </c>
      <c r="B30">
        <f>'KPI by Quarter'!B73</f>
      </c>
      <c r="C30">
        <f>'KPI by Quarter'!C73</f>
      </c>
      <c r="D30">
        <f>'KPI by Quarter'!D73</f>
      </c>
      <c r="E30">
        <f>'KPI by Quarter'!E73</f>
      </c>
      <c r="F30">
        <f>'KPI by Quarter'!F73</f>
      </c>
      <c r="G30">
        <f>'KPI by Quarter'!G73</f>
      </c>
      <c r="H30">
        <f>'KPI by Quarter'!H73</f>
      </c>
      <c r="I30">
        <f>'KPI by Quarter'!I73</f>
      </c>
      <c r="J30">
        <f>'KPI by Quarter'!J73</f>
      </c>
      <c r="K30">
        <f>'KPI by Quarter'!K73</f>
      </c>
      <c r="L30">
        <f>'KPI by Quarter'!L73</f>
      </c>
      <c r="M30">
        <f>'KPI by Quarter'!M73</f>
      </c>
      <c r="N30">
        <f>'KPI by Quarter'!N73</f>
      </c>
      <c r="O30">
        <f>'KPI by Quarter'!B78</f>
      </c>
      <c r="P30">
        <f>'KPI by Quarter'!C78</f>
      </c>
      <c r="Q30">
        <f>'KPI by Quarter'!D78</f>
      </c>
      <c r="R30">
        <f>'KPI by Quarter'!E78</f>
      </c>
    </row>
  </sheetData>
  <mergeCells count="1">
    <mergeCell ref="G18:K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60" customWidth="1"/>
    <col min="3" max="3" width="80" customWidth="1"/>
  </cols>
  <sheetData>
    <row r="1" spans="1:3" x14ac:dyDescent="0.25">
      <c r="A1" t="s">
        <v>117</v>
      </c>
      <c r="B1" t="s">
        <v>118</v>
      </c>
      <c r="C1" t="s">
        <v>119</v>
      </c>
    </row>
    <row r="2" spans="1:3" x14ac:dyDescent="0.25">
      <c r="A2" t="s">
        <v>120</v>
      </c>
      <c r="B2" t="s">
        <v>121</v>
      </c>
      <c r="C2" t="s">
        <v>122</v>
      </c>
    </row>
    <row r="3" spans="1:3" x14ac:dyDescent="0.25">
      <c r="A3" t="s">
        <v>123</v>
      </c>
      <c r="B3" t="s">
        <v>121</v>
      </c>
      <c r="C3" t="s">
        <v>122</v>
      </c>
    </row>
    <row r="4" spans="1:3" x14ac:dyDescent="0.25">
      <c r="A4" t="s">
        <v>124</v>
      </c>
      <c r="B4" t="s">
        <v>121</v>
      </c>
      <c r="C4" t="s">
        <v>122</v>
      </c>
    </row>
    <row r="5" spans="1:3" x14ac:dyDescent="0.25">
      <c r="A5" t="s">
        <v>125</v>
      </c>
      <c r="B5" t="s">
        <v>121</v>
      </c>
      <c r="C5" t="s">
        <v>122</v>
      </c>
    </row>
    <row r="6" spans="1:3" x14ac:dyDescent="0.25">
      <c r="A6" t="s">
        <v>126</v>
      </c>
      <c r="B6" t="s">
        <v>121</v>
      </c>
      <c r="C6" t="s">
        <v>122</v>
      </c>
    </row>
    <row r="7" spans="1:3" x14ac:dyDescent="0.25">
      <c r="A7" t="s">
        <v>127</v>
      </c>
      <c r="B7" t="s">
        <v>121</v>
      </c>
      <c r="C7" t="s">
        <v>122</v>
      </c>
    </row>
    <row r="8" spans="1:3" x14ac:dyDescent="0.25">
      <c r="A8" t="s">
        <v>128</v>
      </c>
      <c r="B8" t="s">
        <v>121</v>
      </c>
      <c r="C8" t="s">
        <v>122</v>
      </c>
    </row>
    <row r="9" spans="1:3" x14ac:dyDescent="0.25">
      <c r="A9" t="s">
        <v>129</v>
      </c>
      <c r="B9" t="s">
        <v>121</v>
      </c>
      <c r="C9" t="s">
        <v>130</v>
      </c>
    </row>
    <row r="10" spans="1:3" x14ac:dyDescent="0.25">
      <c r="A10" t="s">
        <v>131</v>
      </c>
      <c r="B10" t="s">
        <v>121</v>
      </c>
      <c r="C10" t="s">
        <v>132</v>
      </c>
    </row>
    <row r="11" spans="1:3" x14ac:dyDescent="0.25">
      <c r="A11" t="s">
        <v>133</v>
      </c>
      <c r="B11" t="s">
        <v>121</v>
      </c>
      <c r="C11" t="s">
        <v>130</v>
      </c>
    </row>
    <row r="12" spans="1:3" x14ac:dyDescent="0.25">
      <c r="A12" t="s">
        <v>134</v>
      </c>
      <c r="B12" t="s">
        <v>121</v>
      </c>
      <c r="C12" t="s">
        <v>135</v>
      </c>
    </row>
    <row r="13" spans="1:3" x14ac:dyDescent="0.25">
      <c r="A13" t="s">
        <v>136</v>
      </c>
      <c r="B13" t="s">
        <v>121</v>
      </c>
      <c r="C13" t="s">
        <v>130</v>
      </c>
    </row>
    <row r="14" spans="1:3" x14ac:dyDescent="0.25">
      <c r="A14" t="s">
        <v>137</v>
      </c>
      <c r="B14" t="s">
        <v>121</v>
      </c>
      <c r="C14" t="s">
        <v>138</v>
      </c>
    </row>
    <row r="15" spans="1:3" x14ac:dyDescent="0.25">
      <c r="A15" t="s">
        <v>139</v>
      </c>
      <c r="B15" t="s">
        <v>121</v>
      </c>
      <c r="C15" t="s">
        <v>130</v>
      </c>
    </row>
    <row r="16" spans="1:3" x14ac:dyDescent="0.25">
      <c r="A16" t="s">
        <v>140</v>
      </c>
      <c r="B16" t="s">
        <v>121</v>
      </c>
      <c r="C16" t="s">
        <v>141</v>
      </c>
    </row>
    <row r="17" spans="1:3" x14ac:dyDescent="0.25">
      <c r="A17" t="s">
        <v>142</v>
      </c>
      <c r="B17" t="s">
        <v>121</v>
      </c>
      <c r="C17" t="s">
        <v>132</v>
      </c>
    </row>
    <row r="18" spans="1:3" x14ac:dyDescent="0.25">
      <c r="A18" t="s">
        <v>143</v>
      </c>
      <c r="B18" t="s">
        <v>121</v>
      </c>
      <c r="C18" t="s">
        <v>144</v>
      </c>
    </row>
    <row r="19" spans="1:3" x14ac:dyDescent="0.25">
      <c r="A19" t="s">
        <v>145</v>
      </c>
      <c r="B19" t="s">
        <v>121</v>
      </c>
      <c r="C19" t="s">
        <v>132</v>
      </c>
    </row>
    <row r="20" spans="1:3" x14ac:dyDescent="0.25">
      <c r="A20" t="s">
        <v>146</v>
      </c>
      <c r="B20" t="s">
        <v>121</v>
      </c>
      <c r="C20" t="s">
        <v>144</v>
      </c>
    </row>
    <row r="21" spans="1:3" x14ac:dyDescent="0.25">
      <c r="A21" t="s">
        <v>147</v>
      </c>
      <c r="B21" t="s">
        <v>121</v>
      </c>
      <c r="C21" t="s">
        <v>132</v>
      </c>
    </row>
    <row r="22" spans="1:3" x14ac:dyDescent="0.25">
      <c r="A22" t="s">
        <v>148</v>
      </c>
      <c r="B22" t="s">
        <v>121</v>
      </c>
      <c r="C22" t="s">
        <v>144</v>
      </c>
    </row>
    <row r="23" spans="1:3" x14ac:dyDescent="0.25">
      <c r="A23" t="s">
        <v>149</v>
      </c>
      <c r="B23" t="s">
        <v>121</v>
      </c>
      <c r="C23" t="s">
        <v>132</v>
      </c>
    </row>
    <row r="24" spans="1:3" x14ac:dyDescent="0.25">
      <c r="A24" t="s">
        <v>150</v>
      </c>
      <c r="B24" t="s">
        <v>121</v>
      </c>
      <c r="C24" t="s">
        <v>144</v>
      </c>
    </row>
    <row r="25" spans="1:3" x14ac:dyDescent="0.25">
      <c r="A25" t="s">
        <v>151</v>
      </c>
      <c r="B25" t="s">
        <v>121</v>
      </c>
      <c r="C25" t="s">
        <v>135</v>
      </c>
    </row>
    <row r="26" spans="1:3" x14ac:dyDescent="0.25">
      <c r="A26" t="s">
        <v>152</v>
      </c>
      <c r="B26" t="s">
        <v>121</v>
      </c>
      <c r="C26" t="s">
        <v>144</v>
      </c>
    </row>
    <row r="27" spans="1:3" x14ac:dyDescent="0.25">
      <c r="A27" t="s">
        <v>153</v>
      </c>
      <c r="B27" t="s">
        <v>121</v>
      </c>
      <c r="C27" t="s">
        <v>135</v>
      </c>
    </row>
    <row r="28" spans="1:3" x14ac:dyDescent="0.25">
      <c r="A28" t="s">
        <v>154</v>
      </c>
      <c r="B28" t="s">
        <v>121</v>
      </c>
      <c r="C28" t="s">
        <v>144</v>
      </c>
    </row>
    <row r="29" spans="1:3" x14ac:dyDescent="0.25">
      <c r="A29" t="s">
        <v>155</v>
      </c>
      <c r="B29" t="s">
        <v>121</v>
      </c>
      <c r="C29" t="s">
        <v>135</v>
      </c>
    </row>
    <row r="30" spans="1:3" x14ac:dyDescent="0.25">
      <c r="A30" t="s">
        <v>156</v>
      </c>
      <c r="B30" t="s">
        <v>121</v>
      </c>
      <c r="C30" t="s">
        <v>144</v>
      </c>
    </row>
    <row r="31" spans="1:3" x14ac:dyDescent="0.25">
      <c r="A31" t="s">
        <v>157</v>
      </c>
      <c r="B31" t="s">
        <v>121</v>
      </c>
      <c r="C31" t="s">
        <v>135</v>
      </c>
    </row>
    <row r="32" spans="1:3" x14ac:dyDescent="0.25">
      <c r="A32" t="s">
        <v>158</v>
      </c>
      <c r="B32" t="s">
        <v>121</v>
      </c>
      <c r="C32" t="s">
        <v>144</v>
      </c>
    </row>
    <row r="33" spans="1:3" x14ac:dyDescent="0.25">
      <c r="A33" t="s">
        <v>159</v>
      </c>
      <c r="B33" t="s">
        <v>121</v>
      </c>
      <c r="C33" t="s">
        <v>160</v>
      </c>
    </row>
    <row r="34" spans="1:3" x14ac:dyDescent="0.25">
      <c r="A34" t="s">
        <v>161</v>
      </c>
      <c r="B34" t="s">
        <v>121</v>
      </c>
      <c r="C34" t="s">
        <v>144</v>
      </c>
    </row>
    <row r="35" spans="1:3" x14ac:dyDescent="0.25">
      <c r="A35" t="s">
        <v>162</v>
      </c>
      <c r="B35" t="s">
        <v>121</v>
      </c>
      <c r="C35" t="s">
        <v>160</v>
      </c>
    </row>
    <row r="36" spans="1:3" x14ac:dyDescent="0.25">
      <c r="A36" t="s">
        <v>163</v>
      </c>
      <c r="B36" t="s">
        <v>121</v>
      </c>
      <c r="C36" t="s">
        <v>144</v>
      </c>
    </row>
    <row r="37" spans="1:3" x14ac:dyDescent="0.25">
      <c r="A37" t="s">
        <v>164</v>
      </c>
      <c r="B37" t="s">
        <v>121</v>
      </c>
      <c r="C37" t="s">
        <v>160</v>
      </c>
    </row>
    <row r="38" spans="1:3" x14ac:dyDescent="0.25">
      <c r="A38" t="s">
        <v>165</v>
      </c>
      <c r="B38" t="s">
        <v>121</v>
      </c>
      <c r="C38" t="s">
        <v>144</v>
      </c>
    </row>
    <row r="39" spans="1:3" x14ac:dyDescent="0.25">
      <c r="A39" t="s">
        <v>166</v>
      </c>
      <c r="B39" t="s">
        <v>121</v>
      </c>
      <c r="C39" t="s">
        <v>160</v>
      </c>
    </row>
    <row r="40" spans="1:3" x14ac:dyDescent="0.25">
      <c r="A40" t="s">
        <v>167</v>
      </c>
      <c r="B40" t="s">
        <v>121</v>
      </c>
      <c r="C40" t="s">
        <v>144</v>
      </c>
    </row>
    <row r="41" spans="1:3" x14ac:dyDescent="0.25">
      <c r="A41" t="s">
        <v>168</v>
      </c>
      <c r="B41" t="s">
        <v>121</v>
      </c>
      <c r="C41" t="s">
        <v>169</v>
      </c>
    </row>
    <row r="42" spans="1:3" x14ac:dyDescent="0.25">
      <c r="A42" t="s">
        <v>170</v>
      </c>
      <c r="B42" t="s">
        <v>121</v>
      </c>
      <c r="C42" t="s">
        <v>144</v>
      </c>
    </row>
    <row r="43" spans="1:3" x14ac:dyDescent="0.25">
      <c r="A43" t="s">
        <v>171</v>
      </c>
      <c r="B43" t="s">
        <v>121</v>
      </c>
      <c r="C43" t="s">
        <v>169</v>
      </c>
    </row>
    <row r="44" spans="1:3" x14ac:dyDescent="0.25">
      <c r="A44" t="s">
        <v>172</v>
      </c>
      <c r="B44" t="s">
        <v>121</v>
      </c>
      <c r="C44" t="s">
        <v>144</v>
      </c>
    </row>
    <row r="45" spans="1:3" x14ac:dyDescent="0.25">
      <c r="A45" t="s">
        <v>173</v>
      </c>
      <c r="B45" t="s">
        <v>121</v>
      </c>
      <c r="C45" t="s">
        <v>169</v>
      </c>
    </row>
    <row r="46" spans="1:3" x14ac:dyDescent="0.25">
      <c r="A46" t="s">
        <v>174</v>
      </c>
      <c r="B46" t="s">
        <v>121</v>
      </c>
      <c r="C46" t="s">
        <v>144</v>
      </c>
    </row>
    <row r="47" spans="1:3" x14ac:dyDescent="0.25">
      <c r="A47" t="s">
        <v>175</v>
      </c>
      <c r="B47" t="s">
        <v>121</v>
      </c>
      <c r="C47" t="s">
        <v>169</v>
      </c>
    </row>
    <row r="48" spans="1:3" x14ac:dyDescent="0.25">
      <c r="A48" t="s">
        <v>176</v>
      </c>
      <c r="B48" t="s">
        <v>121</v>
      </c>
      <c r="C48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96</v>
      </c>
      <c r="B1" t="s">
        <v>0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</row>
    <row r="2" spans="1:6" x14ac:dyDescent="0.25">
      <c r="A2" t="s">
        <v>177</v>
      </c>
      <c r="B2" t="s">
        <v>95</v>
      </c>
      <c r="C2">
        <v>13</v>
      </c>
    </row>
    <row r="3" spans="1:6" x14ac:dyDescent="0.25">
      <c r="A3" t="s">
        <v>178</v>
      </c>
      <c r="B3" t="s">
        <v>95</v>
      </c>
      <c r="C3">
        <v>10</v>
      </c>
      <c r="D3">
        <v>3</v>
      </c>
    </row>
    <row r="4" spans="1:6" x14ac:dyDescent="0.25">
      <c r="A4" t="s">
        <v>179</v>
      </c>
      <c r="B4" t="s">
        <v>95</v>
      </c>
      <c r="C4">
        <v>1</v>
      </c>
      <c r="D4">
        <v>2</v>
      </c>
    </row>
    <row r="5" spans="1:6" x14ac:dyDescent="0.25">
      <c r="A5" t="s">
        <v>180</v>
      </c>
      <c r="B5" t="s">
        <v>95</v>
      </c>
      <c r="C5">
        <v>7</v>
      </c>
    </row>
    <row r="6" spans="1:6" x14ac:dyDescent="0.25">
      <c r="A6" t="s">
        <v>181</v>
      </c>
      <c r="B6" t="s">
        <v>95</v>
      </c>
      <c r="C6">
        <v>5</v>
      </c>
      <c r="D6">
        <v>1</v>
      </c>
      <c r="E6">
        <v>1</v>
      </c>
    </row>
    <row r="7" spans="1:6" x14ac:dyDescent="0.25">
      <c r="A7" t="s">
        <v>182</v>
      </c>
      <c r="B7" t="s">
        <v>95</v>
      </c>
      <c r="C7">
        <v>5</v>
      </c>
      <c r="D7">
        <v>1</v>
      </c>
    </row>
    <row r="8" spans="1:6" x14ac:dyDescent="0.25">
      <c r="A8" t="s">
        <v>183</v>
      </c>
      <c r="B8" t="s">
        <v>95</v>
      </c>
      <c r="C8">
        <v>11</v>
      </c>
      <c r="D8">
        <v>3</v>
      </c>
    </row>
    <row r="9" spans="1:6" x14ac:dyDescent="0.25">
      <c r="A9" t="s">
        <v>184</v>
      </c>
      <c r="B9" t="s">
        <v>95</v>
      </c>
      <c r="C9">
        <v>4</v>
      </c>
      <c r="D9">
        <v>2</v>
      </c>
    </row>
    <row r="10" spans="1:6" x14ac:dyDescent="0.25">
      <c r="A10" t="s">
        <v>185</v>
      </c>
      <c r="B10" t="s">
        <v>95</v>
      </c>
      <c r="C10">
        <v>9</v>
      </c>
      <c r="D10">
        <v>1</v>
      </c>
    </row>
    <row r="11" spans="1:6" x14ac:dyDescent="0.25">
      <c r="A11" t="s">
        <v>186</v>
      </c>
      <c r="B11" t="s">
        <v>95</v>
      </c>
      <c r="C11">
        <v>11</v>
      </c>
    </row>
    <row r="12" spans="1:6" x14ac:dyDescent="0.25">
      <c r="A12" t="s">
        <v>187</v>
      </c>
      <c r="B12" t="s">
        <v>95</v>
      </c>
      <c r="C12">
        <v>14</v>
      </c>
    </row>
    <row r="13" spans="1:6" x14ac:dyDescent="0.25">
      <c r="A13" t="s">
        <v>188</v>
      </c>
      <c r="B13" t="s">
        <v>95</v>
      </c>
      <c r="C13">
        <v>9</v>
      </c>
      <c r="D13">
        <v>3</v>
      </c>
    </row>
    <row r="14" spans="1:6" x14ac:dyDescent="0.25">
      <c r="A14" t="s">
        <v>189</v>
      </c>
      <c r="B14" t="s">
        <v>95</v>
      </c>
      <c r="C14">
        <v>2</v>
      </c>
    </row>
    <row r="15" spans="1:6" x14ac:dyDescent="0.25">
      <c r="A15" t="s">
        <v>190</v>
      </c>
      <c r="B15" t="s">
        <v>95</v>
      </c>
      <c r="C15">
        <v>7</v>
      </c>
      <c r="D15">
        <v>2</v>
      </c>
    </row>
    <row r="16" spans="1:6" x14ac:dyDescent="0.25">
      <c r="A16" t="s">
        <v>191</v>
      </c>
      <c r="B16" t="s">
        <v>95</v>
      </c>
      <c r="C16">
        <v>9</v>
      </c>
    </row>
    <row r="17" spans="1:6" x14ac:dyDescent="0.25">
      <c r="A17" t="s">
        <v>192</v>
      </c>
      <c r="B17" t="s">
        <v>95</v>
      </c>
      <c r="C17">
        <v>5</v>
      </c>
      <c r="D17">
        <v>3</v>
      </c>
    </row>
    <row r="18" spans="1:6" x14ac:dyDescent="0.25">
      <c r="A18" t="s">
        <v>193</v>
      </c>
      <c r="B18" t="s">
        <v>95</v>
      </c>
      <c r="C18">
        <v>11</v>
      </c>
      <c r="D18">
        <v>1</v>
      </c>
    </row>
    <row r="19" spans="1:6" x14ac:dyDescent="0.25">
      <c r="A19" t="s">
        <v>194</v>
      </c>
      <c r="B19" t="s">
        <v>95</v>
      </c>
      <c r="C19">
        <v>15</v>
      </c>
      <c r="D19">
        <v>1</v>
      </c>
    </row>
    <row r="20" spans="1:6" x14ac:dyDescent="0.25">
      <c r="A20" t="s">
        <v>195</v>
      </c>
      <c r="B20" t="s">
        <v>95</v>
      </c>
      <c r="C20">
        <v>13</v>
      </c>
      <c r="D20">
        <v>3</v>
      </c>
    </row>
    <row r="21" spans="1:6" x14ac:dyDescent="0.25">
      <c r="A21" t="s">
        <v>196</v>
      </c>
      <c r="B21" t="s">
        <v>95</v>
      </c>
      <c r="C21">
        <v>11</v>
      </c>
    </row>
    <row r="22" spans="1:6" x14ac:dyDescent="0.25">
      <c r="A22" t="s">
        <v>197</v>
      </c>
      <c r="B22" t="s">
        <v>95</v>
      </c>
      <c r="C22">
        <v>4</v>
      </c>
    </row>
    <row r="23" spans="1:6" x14ac:dyDescent="0.25">
      <c r="A23" t="s">
        <v>198</v>
      </c>
      <c r="B23" t="s">
        <v>95</v>
      </c>
      <c r="C23">
        <v>13</v>
      </c>
      <c r="D23">
        <v>2</v>
      </c>
    </row>
    <row r="24" spans="1:6" x14ac:dyDescent="0.25">
      <c r="A24" t="s">
        <v>199</v>
      </c>
      <c r="B24" t="s">
        <v>95</v>
      </c>
      <c r="C24">
        <v>7</v>
      </c>
      <c r="D24">
        <v>3</v>
      </c>
    </row>
    <row r="25" spans="1:6" x14ac:dyDescent="0.25">
      <c r="A25" t="s">
        <v>200</v>
      </c>
      <c r="B25" t="s">
        <v>95</v>
      </c>
      <c r="C25">
        <v>6</v>
      </c>
      <c r="D25">
        <v>1</v>
      </c>
    </row>
    <row r="26" spans="1:6" x14ac:dyDescent="0.25">
      <c r="A26" t="s">
        <v>201</v>
      </c>
      <c r="B26" t="s">
        <v>95</v>
      </c>
      <c r="C26">
        <v>3</v>
      </c>
      <c r="D26">
        <v>2</v>
      </c>
    </row>
    <row r="27" spans="1:6" x14ac:dyDescent="0.25">
      <c r="A27" t="s">
        <v>202</v>
      </c>
      <c r="B27" t="s">
        <v>95</v>
      </c>
      <c r="C27">
        <v>1</v>
      </c>
      <c r="D27">
        <v>3</v>
      </c>
    </row>
    <row r="28" spans="1:6" x14ac:dyDescent="0.25">
      <c r="A28" t="s">
        <v>203</v>
      </c>
      <c r="B28" t="s">
        <v>95</v>
      </c>
      <c r="C28">
        <v>6</v>
      </c>
    </row>
    <row r="29" spans="1:6" x14ac:dyDescent="0.25">
      <c r="A29" t="s">
        <v>204</v>
      </c>
      <c r="B29" t="s">
        <v>95</v>
      </c>
      <c r="C29">
        <v>14</v>
      </c>
      <c r="D29">
        <v>1</v>
      </c>
    </row>
    <row r="30" spans="1:6" x14ac:dyDescent="0.25">
      <c r="A30" t="s">
        <v>205</v>
      </c>
      <c r="B30" t="s">
        <v>95</v>
      </c>
      <c r="C30">
        <v>9</v>
      </c>
    </row>
    <row r="31" spans="1:6" x14ac:dyDescent="0.25">
      <c r="A31" t="s">
        <v>206</v>
      </c>
      <c r="B31" t="s">
        <v>95</v>
      </c>
      <c r="C31">
        <v>9</v>
      </c>
      <c r="D3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2" customWidth="1"/>
    <col min="3" max="3" width="28" customWidth="1"/>
    <col min="8" max="8" width="60" customWidth="1"/>
  </cols>
  <sheetData>
    <row r="1" spans="1:10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</row>
    <row r="2" spans="1:10" x14ac:dyDescent="0.25">
      <c r="A2" t="s">
        <v>217</v>
      </c>
      <c r="B2" t="s">
        <v>218</v>
      </c>
      <c r="C2" t="s">
        <v>219</v>
      </c>
      <c r="D2" t="s">
        <v>220</v>
      </c>
      <c r="E2">
        <v>333</v>
      </c>
      <c r="F2">
        <v>590</v>
      </c>
      <c r="G2">
        <v>0</v>
      </c>
      <c r="H2" t="s">
        <v>221</v>
      </c>
      <c r="I2" t="s">
        <v>222</v>
      </c>
      <c r="J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Consolidated KPI</vt:lpstr>
      <vt:lpstr>KPI by Quarter</vt:lpstr>
      <vt:lpstr>Taival_WL</vt:lpstr>
      <vt:lpstr>Colossus - Eternal Blight_WL</vt:lpstr>
      <vt:lpstr>Petunia's Purgatory_WL</vt:lpstr>
      <vt:lpstr>Fleetbreakers_WL</vt:lpstr>
      <vt:lpstr>Dashboard</vt:lpstr>
      <vt:lpstr>Validation</vt:lpstr>
      <vt:lpstr>Noor_WL</vt:lpstr>
      <vt:lpstr>Pull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BigT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2026-05-07T08:43:48Z</dcterms:modified>
</cp:coreProperties>
</file>